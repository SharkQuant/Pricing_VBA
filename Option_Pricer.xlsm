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0695" windowHeight="2400"/>
  </bookViews>
  <sheets>
    <sheet name="Th option " sheetId="3" r:id="rId1"/>
    <sheet name="Binomial" sheetId="6" r:id="rId2"/>
    <sheet name="Steps" sheetId="7" r:id="rId3"/>
    <sheet name="B&amp;S" sheetId="4" r:id="rId4"/>
    <sheet name="Model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L10" i="4" l="1"/>
  <c r="L9" i="4"/>
  <c r="L8" i="4"/>
  <c r="L7" i="4"/>
  <c r="L6" i="4"/>
  <c r="M6" i="4" s="1"/>
  <c r="L5" i="4"/>
  <c r="K6" i="4"/>
  <c r="K5" i="4"/>
  <c r="L5" i="6"/>
  <c r="L4" i="6"/>
  <c r="K9" i="6"/>
  <c r="K8" i="6"/>
  <c r="K7" i="6"/>
  <c r="K6" i="6"/>
  <c r="K5" i="6"/>
  <c r="K4" i="6"/>
  <c r="J5" i="6"/>
  <c r="J4" i="6"/>
  <c r="M5" i="4" l="1"/>
  <c r="G5" i="7"/>
  <c r="C9" i="7"/>
  <c r="C13" i="7" s="1"/>
  <c r="E4" i="7" s="1"/>
  <c r="C8" i="7"/>
  <c r="F4" i="7" l="1"/>
  <c r="C14" i="7"/>
  <c r="C17" i="7" s="1"/>
  <c r="C16" i="6"/>
  <c r="C15" i="6"/>
  <c r="D17" i="3"/>
  <c r="C17" i="3"/>
  <c r="B18" i="3"/>
  <c r="B17" i="3"/>
  <c r="C20" i="7" l="1"/>
  <c r="M43" i="7" s="1"/>
  <c r="E6" i="7"/>
  <c r="D7" i="6"/>
  <c r="E7" i="6" s="1"/>
  <c r="F7" i="6" s="1"/>
  <c r="D6" i="6"/>
  <c r="E6" i="6" s="1"/>
  <c r="F6" i="6" s="1"/>
  <c r="D5" i="6"/>
  <c r="E5" i="6" s="1"/>
  <c r="F5" i="6" s="1"/>
  <c r="D4" i="6"/>
  <c r="E4" i="6" s="1"/>
  <c r="F4" i="6" s="1"/>
  <c r="D3" i="6"/>
  <c r="E3" i="6" s="1"/>
  <c r="F3" i="6" s="1"/>
  <c r="M57" i="7" l="1"/>
  <c r="M29" i="7"/>
  <c r="M53" i="7"/>
  <c r="M47" i="7"/>
  <c r="M41" i="7"/>
  <c r="N42" i="7" s="1"/>
  <c r="M33" i="7"/>
  <c r="M13" i="7"/>
  <c r="M27" i="7"/>
  <c r="E8" i="7"/>
  <c r="F6" i="7"/>
  <c r="M23" i="7"/>
  <c r="M45" i="7"/>
  <c r="N44" i="7" s="1"/>
  <c r="M31" i="7"/>
  <c r="M19" i="7"/>
  <c r="M55" i="7"/>
  <c r="M21" i="7"/>
  <c r="M25" i="7"/>
  <c r="M51" i="7"/>
  <c r="M39" i="7"/>
  <c r="M49" i="7"/>
  <c r="M35" i="7"/>
  <c r="M15" i="7"/>
  <c r="M37" i="7"/>
  <c r="M17" i="7"/>
  <c r="G34" i="7"/>
  <c r="D31" i="3"/>
  <c r="D30" i="3"/>
  <c r="C30" i="3"/>
  <c r="B30" i="3"/>
  <c r="D21" i="3"/>
  <c r="N52" i="7" l="1"/>
  <c r="N56" i="7"/>
  <c r="N30" i="7"/>
  <c r="N40" i="7"/>
  <c r="O41" i="7" s="1"/>
  <c r="O43" i="7"/>
  <c r="N26" i="7"/>
  <c r="N22" i="7"/>
  <c r="N38" i="7"/>
  <c r="N32" i="7"/>
  <c r="N28" i="7"/>
  <c r="N50" i="7"/>
  <c r="N46" i="7"/>
  <c r="O45" i="7" s="1"/>
  <c r="N16" i="7"/>
  <c r="N36" i="7"/>
  <c r="N20" i="7"/>
  <c r="O21" i="7" s="1"/>
  <c r="N14" i="7"/>
  <c r="N24" i="7"/>
  <c r="N48" i="7"/>
  <c r="N18" i="7"/>
  <c r="N54" i="7"/>
  <c r="E10" i="7"/>
  <c r="F8" i="7"/>
  <c r="N34" i="7"/>
  <c r="B16" i="3"/>
  <c r="C21" i="3"/>
  <c r="O51" i="7" l="1"/>
  <c r="O25" i="7"/>
  <c r="O49" i="7"/>
  <c r="O55" i="7"/>
  <c r="P42" i="7"/>
  <c r="P44" i="7"/>
  <c r="O29" i="7"/>
  <c r="O31" i="7"/>
  <c r="O39" i="7"/>
  <c r="P40" i="7" s="1"/>
  <c r="O27" i="7"/>
  <c r="P26" i="7" s="1"/>
  <c r="O37" i="7"/>
  <c r="O35" i="7"/>
  <c r="O15" i="7"/>
  <c r="O53" i="7"/>
  <c r="O19" i="7"/>
  <c r="P20" i="7" s="1"/>
  <c r="O47" i="7"/>
  <c r="O17" i="7"/>
  <c r="O33" i="7"/>
  <c r="E12" i="7"/>
  <c r="F10" i="7"/>
  <c r="G9" i="7" s="1"/>
  <c r="G7" i="7"/>
  <c r="O23" i="7"/>
  <c r="D22" i="3"/>
  <c r="B19" i="3"/>
  <c r="D27" i="3"/>
  <c r="C22" i="3"/>
  <c r="D26" i="3" s="1"/>
  <c r="C18" i="3"/>
  <c r="P52" i="7" l="1"/>
  <c r="P50" i="7"/>
  <c r="P54" i="7"/>
  <c r="P24" i="7"/>
  <c r="Q25" i="7" s="1"/>
  <c r="P30" i="7"/>
  <c r="Q43" i="7"/>
  <c r="P38" i="7"/>
  <c r="Q39" i="7" s="1"/>
  <c r="Q41" i="7"/>
  <c r="P22" i="7"/>
  <c r="P28" i="7"/>
  <c r="Q27" i="7" s="1"/>
  <c r="P36" i="7"/>
  <c r="P18" i="7"/>
  <c r="Q19" i="7" s="1"/>
  <c r="H8" i="7"/>
  <c r="H6" i="7"/>
  <c r="P34" i="7"/>
  <c r="P32" i="7"/>
  <c r="P48" i="7"/>
  <c r="P46" i="7"/>
  <c r="E14" i="7"/>
  <c r="F12" i="7"/>
  <c r="P16" i="7"/>
  <c r="D18" i="3"/>
  <c r="Q49" i="7" l="1"/>
  <c r="R50" i="7" s="1"/>
  <c r="Q51" i="7"/>
  <c r="Q53" i="7"/>
  <c r="R52" i="7" s="1"/>
  <c r="Q37" i="7"/>
  <c r="R38" i="7" s="1"/>
  <c r="Q23" i="7"/>
  <c r="R24" i="7" s="1"/>
  <c r="R42" i="7"/>
  <c r="R26" i="7"/>
  <c r="Q21" i="7"/>
  <c r="R40" i="7"/>
  <c r="Q29" i="7"/>
  <c r="R28" i="7" s="1"/>
  <c r="Q35" i="7"/>
  <c r="Q17" i="7"/>
  <c r="R18" i="7" s="1"/>
  <c r="I7" i="7"/>
  <c r="Q33" i="7"/>
  <c r="Q31" i="7"/>
  <c r="E16" i="7"/>
  <c r="F14" i="7"/>
  <c r="G11" i="7"/>
  <c r="Q47" i="7"/>
  <c r="Q45" i="7"/>
  <c r="R48" i="7" l="1"/>
  <c r="S49" i="7" s="1"/>
  <c r="S41" i="7"/>
  <c r="R22" i="7"/>
  <c r="S23" i="7" s="1"/>
  <c r="S25" i="7"/>
  <c r="R36" i="7"/>
  <c r="S37" i="7" s="1"/>
  <c r="R20" i="7"/>
  <c r="S51" i="7"/>
  <c r="S27" i="7"/>
  <c r="R34" i="7"/>
  <c r="S35" i="7" s="1"/>
  <c r="T36" i="7" s="1"/>
  <c r="S39" i="7"/>
  <c r="T40" i="7" s="1"/>
  <c r="E18" i="7"/>
  <c r="F16" i="7"/>
  <c r="G15" i="7" s="1"/>
  <c r="H10" i="7"/>
  <c r="R32" i="7"/>
  <c r="R30" i="7"/>
  <c r="G13" i="7"/>
  <c r="H12" i="7" s="1"/>
  <c r="R46" i="7"/>
  <c r="R44" i="7"/>
  <c r="S21" i="7" l="1"/>
  <c r="T22" i="7" s="1"/>
  <c r="S47" i="7"/>
  <c r="T24" i="7"/>
  <c r="T26" i="7"/>
  <c r="T50" i="7"/>
  <c r="S19" i="7"/>
  <c r="T38" i="7"/>
  <c r="U39" i="7" s="1"/>
  <c r="S33" i="7"/>
  <c r="T34" i="7" s="1"/>
  <c r="U35" i="7" s="1"/>
  <c r="T48" i="7"/>
  <c r="S31" i="7"/>
  <c r="S29" i="7"/>
  <c r="S45" i="7"/>
  <c r="T46" i="7" s="1"/>
  <c r="S43" i="7"/>
  <c r="I11" i="7"/>
  <c r="I9" i="7"/>
  <c r="H14" i="7"/>
  <c r="E20" i="7"/>
  <c r="F18" i="7"/>
  <c r="T20" i="7" l="1"/>
  <c r="U21" i="7" s="1"/>
  <c r="U23" i="7"/>
  <c r="U25" i="7"/>
  <c r="V24" i="7" s="1"/>
  <c r="W23" i="7" s="1"/>
  <c r="U49" i="7"/>
  <c r="U47" i="7"/>
  <c r="U37" i="7"/>
  <c r="V38" i="7" s="1"/>
  <c r="T32" i="7"/>
  <c r="U33" i="7" s="1"/>
  <c r="V34" i="7" s="1"/>
  <c r="T44" i="7"/>
  <c r="U45" i="7" s="1"/>
  <c r="T42" i="7"/>
  <c r="E22" i="7"/>
  <c r="F20" i="7"/>
  <c r="T30" i="7"/>
  <c r="T28" i="7"/>
  <c r="G17" i="7"/>
  <c r="J10" i="7"/>
  <c r="J8" i="7"/>
  <c r="I13" i="7"/>
  <c r="V46" i="7" l="1"/>
  <c r="V48" i="7"/>
  <c r="U31" i="7"/>
  <c r="V32" i="7" s="1"/>
  <c r="W33" i="7" s="1"/>
  <c r="V36" i="7"/>
  <c r="W37" i="7" s="1"/>
  <c r="K9" i="7"/>
  <c r="U29" i="7"/>
  <c r="U27" i="7"/>
  <c r="U43" i="7"/>
  <c r="V44" i="7" s="1"/>
  <c r="W45" i="7" s="1"/>
  <c r="U41" i="7"/>
  <c r="E24" i="7"/>
  <c r="F22" i="7"/>
  <c r="G21" i="7" s="1"/>
  <c r="H16" i="7"/>
  <c r="J12" i="7"/>
  <c r="K11" i="7" s="1"/>
  <c r="G19" i="7"/>
  <c r="W47" i="7" l="1"/>
  <c r="X46" i="7" s="1"/>
  <c r="L10" i="7"/>
  <c r="M11" i="7" s="1"/>
  <c r="N12" i="7" s="1"/>
  <c r="O13" i="7" s="1"/>
  <c r="P14" i="7" s="1"/>
  <c r="Q15" i="7" s="1"/>
  <c r="R16" i="7" s="1"/>
  <c r="S17" i="7" s="1"/>
  <c r="T18" i="7" s="1"/>
  <c r="U19" i="7" s="1"/>
  <c r="V20" i="7" s="1"/>
  <c r="W21" i="7" s="1"/>
  <c r="X22" i="7" s="1"/>
  <c r="V30" i="7"/>
  <c r="W31" i="7" s="1"/>
  <c r="X32" i="7" s="1"/>
  <c r="W35" i="7"/>
  <c r="X36" i="7" s="1"/>
  <c r="H20" i="7"/>
  <c r="V42" i="7"/>
  <c r="W43" i="7" s="1"/>
  <c r="X44" i="7" s="1"/>
  <c r="V40" i="7"/>
  <c r="H18" i="7"/>
  <c r="E26" i="7"/>
  <c r="F24" i="7"/>
  <c r="G23" i="7" s="1"/>
  <c r="I15" i="7"/>
  <c r="V28" i="7"/>
  <c r="V26" i="7"/>
  <c r="Y45" i="7" l="1"/>
  <c r="W29" i="7"/>
  <c r="X30" i="7" s="1"/>
  <c r="Y31" i="7" s="1"/>
  <c r="X34" i="7"/>
  <c r="I19" i="7"/>
  <c r="W27" i="7"/>
  <c r="W25" i="7"/>
  <c r="W41" i="7"/>
  <c r="X42" i="7" s="1"/>
  <c r="Y43" i="7" s="1"/>
  <c r="W39" i="7"/>
  <c r="J14" i="7"/>
  <c r="E28" i="7"/>
  <c r="F26" i="7"/>
  <c r="G25" i="7" s="1"/>
  <c r="I17" i="7"/>
  <c r="J18" i="7" s="1"/>
  <c r="H22" i="7"/>
  <c r="I21" i="7" s="1"/>
  <c r="Z44" i="7" l="1"/>
  <c r="X28" i="7"/>
  <c r="Y29" i="7" s="1"/>
  <c r="Z30" i="7" s="1"/>
  <c r="Y35" i="7"/>
  <c r="Y33" i="7"/>
  <c r="J16" i="7"/>
  <c r="K17" i="7" s="1"/>
  <c r="J20" i="7"/>
  <c r="K19" i="7" s="1"/>
  <c r="E30" i="7"/>
  <c r="F28" i="7"/>
  <c r="G27" i="7" s="1"/>
  <c r="X40" i="7"/>
  <c r="Y41" i="7" s="1"/>
  <c r="Z42" i="7" s="1"/>
  <c r="AA43" i="7" s="1"/>
  <c r="X38" i="7"/>
  <c r="K13" i="7"/>
  <c r="X26" i="7"/>
  <c r="Y27" i="7" s="1"/>
  <c r="Z28" i="7" s="1"/>
  <c r="AA29" i="7" s="1"/>
  <c r="X24" i="7"/>
  <c r="H24" i="7"/>
  <c r="Z34" i="7" l="1"/>
  <c r="Z32" i="7"/>
  <c r="K15" i="7"/>
  <c r="Y39" i="7"/>
  <c r="Z40" i="7" s="1"/>
  <c r="AA41" i="7" s="1"/>
  <c r="AB42" i="7" s="1"/>
  <c r="Y37" i="7"/>
  <c r="Y25" i="7"/>
  <c r="Z26" i="7" s="1"/>
  <c r="AA27" i="7" s="1"/>
  <c r="AB28" i="7" s="1"/>
  <c r="Y23" i="7"/>
  <c r="H26" i="7"/>
  <c r="I23" i="7"/>
  <c r="E32" i="7"/>
  <c r="F30" i="7"/>
  <c r="AA33" i="7" l="1"/>
  <c r="AA31" i="7"/>
  <c r="Z24" i="7"/>
  <c r="AA25" i="7" s="1"/>
  <c r="AB26" i="7" s="1"/>
  <c r="AC27" i="7" s="1"/>
  <c r="E34" i="7"/>
  <c r="F32" i="7"/>
  <c r="I25" i="7"/>
  <c r="Z38" i="7"/>
  <c r="AA39" i="7" s="1"/>
  <c r="AB40" i="7" s="1"/>
  <c r="AC41" i="7" s="1"/>
  <c r="Z36" i="7"/>
  <c r="J22" i="7"/>
  <c r="G29" i="7"/>
  <c r="AB32" i="7" l="1"/>
  <c r="AB30" i="7"/>
  <c r="E36" i="7"/>
  <c r="F34" i="7"/>
  <c r="K21" i="7"/>
  <c r="G31" i="7"/>
  <c r="J24" i="7"/>
  <c r="K23" i="7" s="1"/>
  <c r="H28" i="7"/>
  <c r="AA37" i="7"/>
  <c r="AB38" i="7" s="1"/>
  <c r="AC39" i="7" s="1"/>
  <c r="AD40" i="7" s="1"/>
  <c r="AA35" i="7"/>
  <c r="AC31" i="7" l="1"/>
  <c r="AC29" i="7"/>
  <c r="E38" i="7"/>
  <c r="F36" i="7"/>
  <c r="G35" i="7" s="1"/>
  <c r="AB36" i="7"/>
  <c r="AC37" i="7" s="1"/>
  <c r="AD38" i="7" s="1"/>
  <c r="AE39" i="7" s="1"/>
  <c r="AB34" i="7"/>
  <c r="I27" i="7"/>
  <c r="G33" i="7"/>
  <c r="H30" i="7"/>
  <c r="I29" i="7" s="1"/>
  <c r="AD30" i="7" l="1"/>
  <c r="AD28" i="7"/>
  <c r="E40" i="7"/>
  <c r="F38" i="7"/>
  <c r="AC35" i="7"/>
  <c r="AD36" i="7" s="1"/>
  <c r="AE37" i="7" s="1"/>
  <c r="AF38" i="7" s="1"/>
  <c r="AC33" i="7"/>
  <c r="H34" i="7"/>
  <c r="J28" i="7"/>
  <c r="J26" i="7"/>
  <c r="H32" i="7"/>
  <c r="I33" i="7" l="1"/>
  <c r="AE29" i="7"/>
  <c r="AD34" i="7"/>
  <c r="AE35" i="7" s="1"/>
  <c r="AF36" i="7" s="1"/>
  <c r="AG37" i="7" s="1"/>
  <c r="AD32" i="7"/>
  <c r="E42" i="7"/>
  <c r="F40" i="7"/>
  <c r="K27" i="7"/>
  <c r="K25" i="7"/>
  <c r="G37" i="7"/>
  <c r="I31" i="7"/>
  <c r="E44" i="7" l="1"/>
  <c r="F42" i="7"/>
  <c r="J32" i="7"/>
  <c r="J30" i="7"/>
  <c r="AE33" i="7"/>
  <c r="AF34" i="7" s="1"/>
  <c r="AG35" i="7" s="1"/>
  <c r="AH36" i="7" s="1"/>
  <c r="AE31" i="7"/>
  <c r="H36" i="7"/>
  <c r="G39" i="7"/>
  <c r="H38" i="7" s="1"/>
  <c r="K31" i="7" l="1"/>
  <c r="K29" i="7"/>
  <c r="AF32" i="7"/>
  <c r="AG33" i="7" s="1"/>
  <c r="AH34" i="7" s="1"/>
  <c r="AI35" i="7" s="1"/>
  <c r="AF30" i="7"/>
  <c r="E46" i="7"/>
  <c r="F44" i="7"/>
  <c r="G43" i="7" s="1"/>
  <c r="I37" i="7"/>
  <c r="I35" i="7"/>
  <c r="G41" i="7"/>
  <c r="H40" i="7" s="1"/>
  <c r="AG31" i="7" l="1"/>
  <c r="AH32" i="7" s="1"/>
  <c r="AI33" i="7" s="1"/>
  <c r="AJ34" i="7" s="1"/>
  <c r="C22" i="7" s="1"/>
  <c r="H42" i="7"/>
  <c r="I41" i="7" s="1"/>
  <c r="E48" i="7"/>
  <c r="F46" i="7"/>
  <c r="J36" i="7"/>
  <c r="J34" i="7"/>
  <c r="I39" i="7"/>
  <c r="J40" i="7" l="1"/>
  <c r="K35" i="7"/>
  <c r="K33" i="7"/>
  <c r="G45" i="7"/>
  <c r="J38" i="7"/>
  <c r="E50" i="7"/>
  <c r="F48" i="7"/>
  <c r="G47" i="7" s="1"/>
  <c r="K39" i="7" l="1"/>
  <c r="E52" i="7"/>
  <c r="F50" i="7"/>
  <c r="H46" i="7"/>
  <c r="H44" i="7"/>
  <c r="K37" i="7"/>
  <c r="G49" i="7"/>
  <c r="E54" i="7" l="1"/>
  <c r="F52" i="7"/>
  <c r="G51" i="7" s="1"/>
  <c r="I45" i="7"/>
  <c r="I43" i="7"/>
  <c r="H48" i="7"/>
  <c r="E56" i="7" l="1"/>
  <c r="F54" i="7"/>
  <c r="G53" i="7" s="1"/>
  <c r="J44" i="7"/>
  <c r="J42" i="7"/>
  <c r="H50" i="7"/>
  <c r="I49" i="7" s="1"/>
  <c r="I47" i="7"/>
  <c r="K43" i="7" l="1"/>
  <c r="K41" i="7"/>
  <c r="E58" i="7"/>
  <c r="F56" i="7"/>
  <c r="J48" i="7"/>
  <c r="J46" i="7"/>
  <c r="K45" i="7" s="1"/>
  <c r="H52" i="7"/>
  <c r="I51" i="7" s="1"/>
  <c r="E60" i="7" l="1"/>
  <c r="F58" i="7"/>
  <c r="K47" i="7"/>
  <c r="G57" i="7"/>
  <c r="G55" i="7"/>
  <c r="J50" i="7"/>
  <c r="K49" i="7" s="1"/>
  <c r="E62" i="7" l="1"/>
  <c r="F62" i="7" s="1"/>
  <c r="E64" i="7"/>
  <c r="F64" i="7" s="1"/>
  <c r="F60" i="7"/>
  <c r="H56" i="7"/>
  <c r="H54" i="7"/>
  <c r="G61" i="7" l="1"/>
  <c r="G63" i="7"/>
  <c r="I55" i="7"/>
  <c r="I53" i="7"/>
  <c r="G59" i="7"/>
  <c r="H62" i="7" l="1"/>
  <c r="J54" i="7"/>
  <c r="J52" i="7"/>
  <c r="H60" i="7"/>
  <c r="I61" i="7" s="1"/>
  <c r="H58" i="7"/>
  <c r="I59" i="7" l="1"/>
  <c r="J60" i="7" s="1"/>
  <c r="I57" i="7"/>
  <c r="K53" i="7"/>
  <c r="K51" i="7"/>
  <c r="J58" i="7" l="1"/>
  <c r="K59" i="7" s="1"/>
  <c r="J56" i="7"/>
  <c r="K57" i="7" l="1"/>
  <c r="K55" i="7"/>
</calcChain>
</file>

<file path=xl/comments1.xml><?xml version="1.0" encoding="utf-8"?>
<comments xmlns="http://schemas.openxmlformats.org/spreadsheetml/2006/main">
  <authors>
    <author>Jean-Francois KARLESKIND</author>
  </authors>
  <commentList>
    <comment ref="F8" authorId="0">
      <text>
        <r>
          <rPr>
            <b/>
            <sz val="9"/>
            <color indexed="81"/>
            <rFont val="Tahoma"/>
            <family val="2"/>
          </rPr>
          <t>Jean-Francois KARLESKIND:</t>
        </r>
        <r>
          <rPr>
            <sz val="9"/>
            <color indexed="81"/>
            <rFont val="Tahoma"/>
            <family val="2"/>
          </rPr>
          <t xml:space="preserve">
Max(1000) or error</t>
        </r>
      </text>
    </comment>
  </commentList>
</comments>
</file>

<file path=xl/sharedStrings.xml><?xml version="1.0" encoding="utf-8"?>
<sst xmlns="http://schemas.openxmlformats.org/spreadsheetml/2006/main" count="91" uniqueCount="62">
  <si>
    <t>K</t>
  </si>
  <si>
    <t xml:space="preserve">Sigma </t>
  </si>
  <si>
    <t>R</t>
  </si>
  <si>
    <t>t</t>
  </si>
  <si>
    <t>3mois</t>
  </si>
  <si>
    <t>St</t>
  </si>
  <si>
    <t>d=b = 1/u</t>
  </si>
  <si>
    <t>p(d) = 1-p(u)</t>
  </si>
  <si>
    <t>h = u = exp(Sigma*racine delta t )</t>
  </si>
  <si>
    <t>h1</t>
  </si>
  <si>
    <t>b1</t>
  </si>
  <si>
    <t>1mois</t>
  </si>
  <si>
    <t>2eme</t>
  </si>
  <si>
    <t>3eme</t>
  </si>
  <si>
    <t>Détail calcul :</t>
  </si>
  <si>
    <t xml:space="preserve">p(u) </t>
  </si>
  <si>
    <t>p(u) = exp (r*racinedelta t)- d / u-d</t>
  </si>
  <si>
    <t>p(d)</t>
  </si>
  <si>
    <t>Cours call</t>
  </si>
  <si>
    <t>Stock Price</t>
  </si>
  <si>
    <t>Strike Price</t>
  </si>
  <si>
    <t>Time to Expiry</t>
  </si>
  <si>
    <t>Volatility</t>
  </si>
  <si>
    <t>Risk Free Rate</t>
  </si>
  <si>
    <t>PARAMETERS</t>
  </si>
  <si>
    <t>PRICING</t>
  </si>
  <si>
    <t>Call</t>
  </si>
  <si>
    <t>Put</t>
  </si>
  <si>
    <t>Option Price</t>
  </si>
  <si>
    <t>Delta</t>
  </si>
  <si>
    <t>Gamma</t>
  </si>
  <si>
    <t>Theta</t>
  </si>
  <si>
    <t>Vega</t>
  </si>
  <si>
    <t>Rho</t>
  </si>
  <si>
    <t>**No Dividend Yield</t>
  </si>
  <si>
    <t>PARAMETERS (INPUT)</t>
  </si>
  <si>
    <t>RESULT (OUTPUT)</t>
  </si>
  <si>
    <t>BEST (confiance) VALUE (OUTPUT)</t>
  </si>
  <si>
    <t>0,25</t>
  </si>
  <si>
    <t>0,20</t>
  </si>
  <si>
    <t>coût de portage b=r-q</t>
  </si>
  <si>
    <t>durée d'une période en année dt</t>
  </si>
  <si>
    <t>coefficient de hausse u</t>
  </si>
  <si>
    <t>coefficient de baisse d</t>
  </si>
  <si>
    <t>probabilité risque neutre de hausse p</t>
  </si>
  <si>
    <t>1-p</t>
  </si>
  <si>
    <t>Valeur de l'option</t>
  </si>
  <si>
    <t>Spot</t>
  </si>
  <si>
    <t>Strike</t>
  </si>
  <si>
    <t>Maturity</t>
  </si>
  <si>
    <t>N Steps</t>
  </si>
  <si>
    <t>r</t>
  </si>
  <si>
    <t>dividende</t>
  </si>
  <si>
    <t>Final</t>
  </si>
  <si>
    <t>Payoff</t>
  </si>
  <si>
    <t>0,07</t>
  </si>
  <si>
    <t>Binomial</t>
  </si>
  <si>
    <t>Black&amp; Scholes</t>
  </si>
  <si>
    <t>COMPARATIF</t>
  </si>
  <si>
    <t xml:space="preserve">Call </t>
  </si>
  <si>
    <t>Spread</t>
  </si>
  <si>
    <t>Number of Steps 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</si>
</sst>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u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u/>
      <sz val="9"/>
      <color theme="0"/>
      <name val="Arial"/>
      <family val="2"/>
    </font>
    <font>
      <b/>
      <u/>
      <sz val="10"/>
      <color theme="0"/>
      <name val="Arial"/>
      <family val="2"/>
    </font>
    <font>
      <sz val="8"/>
      <color rgb="FFFFFF00"/>
      <name val="Arial"/>
      <family val="2"/>
    </font>
    <font>
      <b/>
      <u/>
      <sz val="8"/>
      <color rgb="FFFFFF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7" fillId="0" borderId="0"/>
    <xf numFmtId="0" fontId="11" fillId="0" borderId="0"/>
  </cellStyleXfs>
  <cellXfs count="124">
    <xf numFmtId="0" fontId="0" fillId="0" borderId="0" xfId="0"/>
    <xf numFmtId="0" fontId="0" fillId="0" borderId="1" xfId="0" applyBorder="1"/>
    <xf numFmtId="9" fontId="0" fillId="0" borderId="1" xfId="0" applyNumberFormat="1" applyBorder="1"/>
    <xf numFmtId="0" fontId="0" fillId="0" borderId="1" xfId="0" applyBorder="1" applyAlignment="1"/>
    <xf numFmtId="9" fontId="0" fillId="0" borderId="1" xfId="0" applyNumberFormat="1" applyBorder="1" applyAlignment="1"/>
    <xf numFmtId="0" fontId="0" fillId="2" borderId="1" xfId="0" applyFill="1" applyBorder="1"/>
    <xf numFmtId="0" fontId="1" fillId="0" borderId="0" xfId="0" applyFont="1"/>
    <xf numFmtId="0" fontId="0" fillId="0" borderId="0" xfId="0" applyFont="1"/>
    <xf numFmtId="0" fontId="0" fillId="2" borderId="1" xfId="0" applyFont="1" applyFill="1" applyBorder="1"/>
    <xf numFmtId="0" fontId="1" fillId="0" borderId="0" xfId="0" applyFont="1" applyBorder="1"/>
    <xf numFmtId="0" fontId="0" fillId="0" borderId="0" xfId="0" applyFont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3" borderId="6" xfId="0" applyFill="1" applyBorder="1"/>
    <xf numFmtId="0" fontId="0" fillId="4" borderId="5" xfId="0" applyFill="1" applyBorder="1"/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6" borderId="0" xfId="0" applyFill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0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1" fillId="0" borderId="12" xfId="0" applyFont="1" applyBorder="1" applyAlignment="1">
      <alignment horizontal="left" vertical="top"/>
    </xf>
    <xf numFmtId="0" fontId="0" fillId="3" borderId="13" xfId="0" applyFill="1" applyBorder="1"/>
    <xf numFmtId="0" fontId="0" fillId="4" borderId="14" xfId="0" applyFill="1" applyBorder="1"/>
    <xf numFmtId="0" fontId="0" fillId="3" borderId="15" xfId="0" applyFill="1" applyBorder="1"/>
    <xf numFmtId="0" fontId="0" fillId="4" borderId="16" xfId="0" applyFill="1" applyBorder="1"/>
    <xf numFmtId="0" fontId="0" fillId="3" borderId="17" xfId="0" applyFill="1" applyBorder="1"/>
    <xf numFmtId="0" fontId="0" fillId="4" borderId="18" xfId="0" applyFill="1" applyBorder="1"/>
    <xf numFmtId="0" fontId="3" fillId="5" borderId="2" xfId="0" applyFont="1" applyFill="1" applyBorder="1" applyAlignment="1">
      <alignment horizontal="center"/>
    </xf>
    <xf numFmtId="0" fontId="0" fillId="0" borderId="4" xfId="1" applyNumberFormat="1" applyFont="1" applyBorder="1"/>
    <xf numFmtId="0" fontId="0" fillId="0" borderId="5" xfId="1" applyNumberFormat="1" applyFont="1" applyBorder="1"/>
    <xf numFmtId="0" fontId="5" fillId="7" borderId="21" xfId="0" applyFont="1" applyFill="1" applyBorder="1" applyAlignment="1">
      <alignment horizontal="left" vertical="top"/>
    </xf>
    <xf numFmtId="0" fontId="5" fillId="8" borderId="20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left" vertical="top"/>
    </xf>
    <xf numFmtId="0" fontId="6" fillId="10" borderId="30" xfId="0" applyFont="1" applyFill="1" applyBorder="1" applyAlignment="1">
      <alignment horizontal="center" vertical="center"/>
    </xf>
    <xf numFmtId="0" fontId="6" fillId="10" borderId="31" xfId="0" applyFont="1" applyFill="1" applyBorder="1" applyAlignment="1">
      <alignment horizontal="center" vertical="center"/>
    </xf>
    <xf numFmtId="0" fontId="6" fillId="10" borderId="32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13" fillId="7" borderId="10" xfId="2" applyFont="1" applyFill="1" applyBorder="1"/>
    <xf numFmtId="0" fontId="13" fillId="7" borderId="11" xfId="2" applyFont="1" applyFill="1" applyBorder="1"/>
    <xf numFmtId="0" fontId="13" fillId="7" borderId="12" xfId="2" applyFont="1" applyFill="1" applyBorder="1"/>
    <xf numFmtId="0" fontId="15" fillId="11" borderId="2" xfId="2" applyFont="1" applyFill="1" applyBorder="1" applyAlignment="1">
      <alignment horizontal="center" vertical="center"/>
    </xf>
    <xf numFmtId="0" fontId="16" fillId="13" borderId="4" xfId="2" applyFont="1" applyFill="1" applyBorder="1" applyAlignment="1">
      <alignment horizontal="center" vertical="center"/>
    </xf>
    <xf numFmtId="0" fontId="17" fillId="13" borderId="4" xfId="2" applyFont="1" applyFill="1" applyBorder="1" applyAlignment="1">
      <alignment horizontal="center" vertical="center"/>
    </xf>
    <xf numFmtId="0" fontId="13" fillId="7" borderId="34" xfId="2" applyFont="1" applyFill="1" applyBorder="1"/>
    <xf numFmtId="0" fontId="13" fillId="7" borderId="36" xfId="2" applyFont="1" applyFill="1" applyBorder="1"/>
    <xf numFmtId="0" fontId="13" fillId="7" borderId="30" xfId="2" applyFont="1" applyFill="1" applyBorder="1"/>
    <xf numFmtId="0" fontId="8" fillId="0" borderId="35" xfId="2" applyFont="1" applyBorder="1" applyAlignment="1">
      <alignment horizontal="center" vertical="center"/>
    </xf>
    <xf numFmtId="0" fontId="8" fillId="0" borderId="37" xfId="2" applyFont="1" applyBorder="1" applyAlignment="1">
      <alignment horizontal="center" vertical="center"/>
    </xf>
    <xf numFmtId="0" fontId="8" fillId="0" borderId="38" xfId="2" applyFont="1" applyBorder="1" applyAlignment="1">
      <alignment horizontal="center" vertical="center"/>
    </xf>
    <xf numFmtId="165" fontId="9" fillId="0" borderId="9" xfId="2" applyNumberFormat="1" applyFont="1" applyBorder="1" applyAlignment="1">
      <alignment horizontal="center" vertical="center"/>
    </xf>
    <xf numFmtId="0" fontId="14" fillId="4" borderId="7" xfId="2" applyFont="1" applyFill="1" applyBorder="1"/>
    <xf numFmtId="10" fontId="16" fillId="13" borderId="5" xfId="2" applyNumberFormat="1" applyFont="1" applyFill="1" applyBorder="1" applyAlignment="1">
      <alignment horizontal="center" vertical="center"/>
    </xf>
    <xf numFmtId="0" fontId="12" fillId="14" borderId="20" xfId="2" applyFont="1" applyFill="1" applyBorder="1" applyAlignment="1">
      <alignment horizontal="center"/>
    </xf>
    <xf numFmtId="0" fontId="12" fillId="14" borderId="22" xfId="2" applyFont="1" applyFill="1" applyBorder="1" applyAlignment="1">
      <alignment horizontal="center"/>
    </xf>
    <xf numFmtId="0" fontId="12" fillId="14" borderId="2" xfId="2" applyFont="1" applyFill="1" applyBorder="1" applyAlignment="1">
      <alignment horizontal="center"/>
    </xf>
    <xf numFmtId="2" fontId="13" fillId="12" borderId="21" xfId="2" applyNumberFormat="1" applyFont="1" applyFill="1" applyBorder="1" applyAlignment="1">
      <alignment horizontal="center"/>
    </xf>
    <xf numFmtId="2" fontId="13" fillId="12" borderId="22" xfId="2" applyNumberFormat="1" applyFont="1" applyFill="1" applyBorder="1" applyAlignment="1">
      <alignment horizontal="center"/>
    </xf>
    <xf numFmtId="0" fontId="8" fillId="6" borderId="9" xfId="2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0" fillId="6" borderId="1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11" xfId="0" applyNumberFormat="1" applyFill="1" applyBorder="1" applyAlignment="1">
      <alignment horizontal="center" vertical="center"/>
    </xf>
    <xf numFmtId="0" fontId="0" fillId="6" borderId="11" xfId="1" applyNumberFormat="1" applyFont="1" applyFill="1" applyBorder="1" applyAlignment="1">
      <alignment horizontal="center" vertical="center"/>
    </xf>
    <xf numFmtId="164" fontId="0" fillId="6" borderId="10" xfId="0" applyNumberFormat="1" applyFill="1" applyBorder="1"/>
    <xf numFmtId="164" fontId="0" fillId="6" borderId="27" xfId="0" applyNumberFormat="1" applyFill="1" applyBorder="1"/>
    <xf numFmtId="164" fontId="0" fillId="6" borderId="3" xfId="0" applyNumberFormat="1" applyFill="1" applyBorder="1"/>
    <xf numFmtId="164" fontId="0" fillId="6" borderId="12" xfId="0" applyNumberFormat="1" applyFill="1" applyBorder="1"/>
    <xf numFmtId="164" fontId="0" fillId="6" borderId="29" xfId="0" applyNumberFormat="1" applyFill="1" applyBorder="1"/>
    <xf numFmtId="164" fontId="0" fillId="6" borderId="5" xfId="0" applyNumberFormat="1" applyFill="1" applyBorder="1"/>
    <xf numFmtId="164" fontId="0" fillId="6" borderId="19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6" borderId="3" xfId="0" applyNumberFormat="1" applyFill="1" applyBorder="1" applyAlignment="1">
      <alignment horizontal="center"/>
    </xf>
    <xf numFmtId="164" fontId="0" fillId="6" borderId="24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0" fontId="8" fillId="6" borderId="0" xfId="2" applyFont="1" applyFill="1"/>
    <xf numFmtId="0" fontId="7" fillId="6" borderId="0" xfId="2" applyFill="1"/>
    <xf numFmtId="0" fontId="8" fillId="6" borderId="0" xfId="2" applyFont="1" applyFill="1" applyAlignment="1">
      <alignment horizontal="center"/>
    </xf>
    <xf numFmtId="0" fontId="7" fillId="6" borderId="0" xfId="2" applyFill="1" applyAlignment="1">
      <alignment horizontal="center"/>
    </xf>
    <xf numFmtId="0" fontId="8" fillId="6" borderId="0" xfId="2" applyFont="1" applyFill="1" applyAlignment="1">
      <alignment horizontal="center" vertical="center"/>
    </xf>
    <xf numFmtId="0" fontId="8" fillId="6" borderId="0" xfId="2" quotePrefix="1" applyFont="1" applyFill="1"/>
    <xf numFmtId="0" fontId="10" fillId="6" borderId="0" xfId="2" applyFont="1" applyFill="1" applyAlignment="1">
      <alignment horizontal="center" vertical="center"/>
    </xf>
    <xf numFmtId="2" fontId="8" fillId="6" borderId="0" xfId="2" applyNumberFormat="1" applyFont="1" applyFill="1" applyAlignment="1">
      <alignment horizontal="center"/>
    </xf>
    <xf numFmtId="2" fontId="8" fillId="6" borderId="0" xfId="3" applyNumberFormat="1" applyFont="1" applyFill="1" applyAlignment="1">
      <alignment horizontal="center"/>
    </xf>
    <xf numFmtId="2" fontId="8" fillId="6" borderId="0" xfId="2" applyNumberFormat="1" applyFont="1" applyFill="1" applyAlignment="1">
      <alignment horizontal="center" wrapText="1"/>
    </xf>
    <xf numFmtId="2" fontId="8" fillId="6" borderId="33" xfId="2" applyNumberFormat="1" applyFont="1" applyFill="1" applyBorder="1" applyAlignment="1">
      <alignment horizontal="center"/>
    </xf>
    <xf numFmtId="2" fontId="8" fillId="6" borderId="2" xfId="2" applyNumberFormat="1" applyFont="1" applyFill="1" applyBorder="1" applyAlignment="1">
      <alignment horizontal="center"/>
    </xf>
    <xf numFmtId="2" fontId="7" fillId="6" borderId="0" xfId="2" applyNumberFormat="1" applyFill="1" applyAlignment="1">
      <alignment horizontal="center"/>
    </xf>
    <xf numFmtId="0" fontId="8" fillId="6" borderId="0" xfId="2" applyFont="1" applyFill="1" applyBorder="1" applyAlignment="1">
      <alignment horizontal="center"/>
    </xf>
    <xf numFmtId="0" fontId="0" fillId="6" borderId="0" xfId="0" applyFill="1" applyAlignment="1"/>
    <xf numFmtId="0" fontId="0" fillId="6" borderId="21" xfId="0" applyFill="1" applyBorder="1"/>
    <xf numFmtId="0" fontId="0" fillId="6" borderId="22" xfId="0" applyFill="1" applyBorder="1"/>
    <xf numFmtId="0" fontId="0" fillId="15" borderId="2" xfId="0" applyFill="1" applyBorder="1"/>
    <xf numFmtId="0" fontId="0" fillId="6" borderId="11" xfId="0" applyFill="1" applyBorder="1"/>
    <xf numFmtId="0" fontId="0" fillId="6" borderId="28" xfId="0" applyFill="1" applyBorder="1"/>
    <xf numFmtId="0" fontId="0" fillId="6" borderId="12" xfId="0" applyFill="1" applyBorder="1"/>
    <xf numFmtId="0" fontId="0" fillId="6" borderId="29" xfId="0" applyFill="1" applyBorder="1"/>
    <xf numFmtId="0" fontId="20" fillId="11" borderId="7" xfId="0" applyFont="1" applyFill="1" applyBorder="1" applyAlignment="1">
      <alignment horizontal="center"/>
    </xf>
    <xf numFmtId="0" fontId="20" fillId="11" borderId="8" xfId="0" applyFont="1" applyFill="1" applyBorder="1" applyAlignment="1">
      <alignment horizontal="center"/>
    </xf>
    <xf numFmtId="0" fontId="20" fillId="11" borderId="9" xfId="0" applyFont="1" applyFill="1" applyBorder="1" applyAlignment="1">
      <alignment horizontal="center"/>
    </xf>
    <xf numFmtId="0" fontId="21" fillId="6" borderId="34" xfId="0" applyFont="1" applyFill="1" applyBorder="1"/>
    <xf numFmtId="0" fontId="21" fillId="6" borderId="39" xfId="0" applyFont="1" applyFill="1" applyBorder="1"/>
    <xf numFmtId="164" fontId="0" fillId="6" borderId="11" xfId="0" applyNumberFormat="1" applyFill="1" applyBorder="1"/>
    <xf numFmtId="10" fontId="0" fillId="6" borderId="4" xfId="1" applyNumberFormat="1" applyFont="1" applyFill="1" applyBorder="1"/>
    <xf numFmtId="10" fontId="0" fillId="6" borderId="5" xfId="1" applyNumberFormat="1" applyFont="1" applyFill="1" applyBorder="1"/>
    <xf numFmtId="0" fontId="21" fillId="6" borderId="16" xfId="0" applyFont="1" applyFill="1" applyBorder="1" applyAlignment="1">
      <alignment horizontal="center" vertical="center"/>
    </xf>
    <xf numFmtId="164" fontId="0" fillId="6" borderId="11" xfId="0" applyNumberFormat="1" applyFill="1" applyBorder="1" applyAlignment="1">
      <alignment horizontal="center" vertical="center"/>
    </xf>
    <xf numFmtId="10" fontId="0" fillId="6" borderId="4" xfId="1" applyNumberFormat="1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10" fontId="0" fillId="6" borderId="5" xfId="1" applyNumberFormat="1" applyFont="1" applyFill="1" applyBorder="1" applyAlignment="1">
      <alignment horizontal="center" vertical="center"/>
    </xf>
  </cellXfs>
  <cellStyles count="4">
    <cellStyle name="Normal" xfId="0" builtinId="0"/>
    <cellStyle name="Normal 2" xfId="2"/>
    <cellStyle name="Normal 3" xfId="3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47625</xdr:rowOff>
        </xdr:from>
        <xdr:to>
          <xdr:col>5</xdr:col>
          <xdr:colOff>714375</xdr:colOff>
          <xdr:row>17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9966"/>
                  </a:solidFill>
                  <a:latin typeface="Calibri"/>
                </a:rPr>
                <a:t>BinoRun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9524</xdr:colOff>
      <xdr:row>9</xdr:row>
      <xdr:rowOff>190500</xdr:rowOff>
    </xdr:from>
    <xdr:to>
      <xdr:col>13</xdr:col>
      <xdr:colOff>409574</xdr:colOff>
      <xdr:row>15</xdr:row>
      <xdr:rowOff>95250</xdr:rowOff>
    </xdr:to>
    <xdr:sp macro="" textlink="">
      <xdr:nvSpPr>
        <xdr:cNvPr id="2" name="ZoneTexte 1"/>
        <xdr:cNvSpPr txBox="1"/>
      </xdr:nvSpPr>
      <xdr:spPr>
        <a:xfrm>
          <a:off x="7134224" y="1971675"/>
          <a:ext cx="4410075" cy="110490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  <a:reflection blurRad="6350" stA="50000" endA="300" endPos="55500" dist="10160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Quand N tends vers l'infini,</a:t>
          </a:r>
          <a:r>
            <a:rPr lang="fr-FR" sz="1100" baseline="0"/>
            <a:t> le pricing Binomial converge vers Black &amp; Scholes  (il est possible d'accélérer cette convergence)</a:t>
          </a:r>
        </a:p>
        <a:p>
          <a:endParaRPr lang="fr-FR" sz="1100" baseline="0"/>
        </a:p>
        <a:p>
          <a:r>
            <a:rPr lang="fr-FR" sz="1100" baseline="0"/>
            <a:t>- La méthode binomial demande une puissance de calcul supérieure  par rapport à B&amp;S (reste inférieur à une simulation de Monte-Carlo)</a:t>
          </a:r>
        </a:p>
        <a:p>
          <a:endParaRPr lang="fr-FR" sz="1100" baseline="0"/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95250</xdr:rowOff>
        </xdr:from>
        <xdr:to>
          <xdr:col>5</xdr:col>
          <xdr:colOff>723900</xdr:colOff>
          <xdr:row>10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9966"/>
                  </a:solidFill>
                  <a:latin typeface="Calibri"/>
                </a:rPr>
                <a:t>ToolBox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7</xdr:col>
          <xdr:colOff>409575</xdr:colOff>
          <xdr:row>1</xdr:row>
          <xdr:rowOff>466725</xdr:rowOff>
        </xdr:to>
        <xdr:sp macro="" textlink="">
          <xdr:nvSpPr>
            <xdr:cNvPr id="3075" name="Image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276225</xdr:colOff>
      <xdr:row>11</xdr:row>
      <xdr:rowOff>152399</xdr:rowOff>
    </xdr:from>
    <xdr:to>
      <xdr:col>5</xdr:col>
      <xdr:colOff>485775</xdr:colOff>
      <xdr:row>19</xdr:row>
      <xdr:rowOff>47624</xdr:rowOff>
    </xdr:to>
    <xdr:sp macro="" textlink="">
      <xdr:nvSpPr>
        <xdr:cNvPr id="4" name="ZoneTexte 3"/>
        <xdr:cNvSpPr txBox="1"/>
      </xdr:nvSpPr>
      <xdr:spPr>
        <a:xfrm>
          <a:off x="276225" y="3038474"/>
          <a:ext cx="4410075" cy="1419225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  <a:reflection blurRad="6350" stA="50000" endA="300" endPos="55500" dist="5080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Le modèle de Black &amp; Scholes étant largement utilisé par les opérateurs</a:t>
          </a:r>
          <a:r>
            <a:rPr lang="fr-FR" sz="1100" baseline="0"/>
            <a:t> de marché il servira de référence dans la pluspart des situations</a:t>
          </a:r>
        </a:p>
        <a:p>
          <a:endParaRPr lang="fr-FR" sz="1100"/>
        </a:p>
        <a:p>
          <a:r>
            <a:rPr lang="fr-FR" sz="1100"/>
            <a:t> </a:t>
          </a:r>
          <a:r>
            <a:rPr lang="fr-FR" sz="1100" baseline="0"/>
            <a:t>- Son défaut est lié à une volatilité considérée comme constante dans le processus de pricing (amélioration par la Vol Loc &amp; Vol Stoch)</a:t>
          </a:r>
        </a:p>
        <a:p>
          <a:endParaRPr lang="fr-FR" sz="1100" baseline="0"/>
        </a:p>
        <a:p>
          <a:r>
            <a:rPr lang="fr-FR" sz="1100" baseline="0"/>
            <a:t>- Le processus de pricing en formule fermée est plus évident et rapide à assimiler </a:t>
          </a:r>
        </a:p>
        <a:p>
          <a:endParaRPr lang="fr-FR" sz="1100" baseline="0"/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0</xdr:colOff>
      <xdr:row>36</xdr:row>
      <xdr:rowOff>0</xdr:rowOff>
    </xdr:to>
    <xdr:pic>
      <xdr:nvPicPr>
        <xdr:cNvPr id="2" name="Image 1" descr="Résultat de recherche d'images pour &quot;greek formula call and put&quot;&quot;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44000" cy="68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304800</xdr:colOff>
      <xdr:row>37</xdr:row>
      <xdr:rowOff>114300</xdr:rowOff>
    </xdr:to>
    <xdr:sp macro="" textlink="">
      <xdr:nvSpPr>
        <xdr:cNvPr id="1026" name="AutoShape 2" descr="Résultat de recherche d'images pour &quot;Put option price formula&quot;"/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304800</xdr:colOff>
      <xdr:row>37</xdr:row>
      <xdr:rowOff>114300</xdr:rowOff>
    </xdr:to>
    <xdr:sp macro="" textlink="">
      <xdr:nvSpPr>
        <xdr:cNvPr id="1028" name="AutoShape 4" descr="Résultat de recherche d'images pour &quot;Put option price formula&quot;"/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180975</xdr:rowOff>
    </xdr:from>
    <xdr:to>
      <xdr:col>7</xdr:col>
      <xdr:colOff>152400</xdr:colOff>
      <xdr:row>53</xdr:row>
      <xdr:rowOff>66675</xdr:rowOff>
    </xdr:to>
    <xdr:pic>
      <xdr:nvPicPr>
        <xdr:cNvPr id="7" name="Image 6" descr="Résultat de recherche d'images pour &quot;Put option price formula&quot;&quot;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38975"/>
          <a:ext cx="5486400" cy="312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strategies-options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C000"/>
  </sheetPr>
  <dimension ref="A2:K33"/>
  <sheetViews>
    <sheetView tabSelected="1" workbookViewId="0"/>
  </sheetViews>
  <sheetFormatPr baseColWidth="10" defaultRowHeight="15" x14ac:dyDescent="0.25"/>
  <cols>
    <col min="1" max="1" width="14.42578125" customWidth="1"/>
    <col min="4" max="4" width="11.42578125" style="7"/>
  </cols>
  <sheetData>
    <row r="2" spans="1:11" x14ac:dyDescent="0.25">
      <c r="H2" s="1" t="s">
        <v>5</v>
      </c>
      <c r="I2" s="1">
        <v>100</v>
      </c>
      <c r="K2" t="s">
        <v>8</v>
      </c>
    </row>
    <row r="3" spans="1:11" x14ac:dyDescent="0.25">
      <c r="H3" s="1" t="s">
        <v>0</v>
      </c>
      <c r="I3" s="1">
        <v>110</v>
      </c>
      <c r="K3" t="s">
        <v>6</v>
      </c>
    </row>
    <row r="4" spans="1:11" x14ac:dyDescent="0.25">
      <c r="H4" s="1" t="s">
        <v>1</v>
      </c>
      <c r="I4" s="2">
        <v>0.3</v>
      </c>
      <c r="K4" t="s">
        <v>16</v>
      </c>
    </row>
    <row r="5" spans="1:11" x14ac:dyDescent="0.25">
      <c r="H5" s="3" t="s">
        <v>2</v>
      </c>
      <c r="I5" s="4">
        <v>0.1</v>
      </c>
      <c r="K5" t="s">
        <v>7</v>
      </c>
    </row>
    <row r="6" spans="1:11" x14ac:dyDescent="0.25">
      <c r="B6" t="s">
        <v>11</v>
      </c>
      <c r="C6" t="s">
        <v>12</v>
      </c>
      <c r="D6" s="7" t="s">
        <v>13</v>
      </c>
      <c r="H6" s="1" t="s">
        <v>3</v>
      </c>
      <c r="I6" s="1" t="s">
        <v>4</v>
      </c>
    </row>
    <row r="7" spans="1:11" x14ac:dyDescent="0.25">
      <c r="C7">
        <v>12.6</v>
      </c>
      <c r="D7" s="8">
        <v>129.66</v>
      </c>
      <c r="E7">
        <v>19.66</v>
      </c>
    </row>
    <row r="8" spans="1:11" x14ac:dyDescent="0.25">
      <c r="B8">
        <v>8.1</v>
      </c>
      <c r="C8" s="5">
        <v>118.91</v>
      </c>
    </row>
    <row r="9" spans="1:11" x14ac:dyDescent="0.25">
      <c r="B9" s="5">
        <v>109.04</v>
      </c>
      <c r="D9" s="8">
        <v>109.04</v>
      </c>
      <c r="E9">
        <v>0</v>
      </c>
    </row>
    <row r="10" spans="1:11" x14ac:dyDescent="0.25">
      <c r="A10" s="5">
        <v>100</v>
      </c>
      <c r="C10" s="5">
        <v>100</v>
      </c>
    </row>
    <row r="11" spans="1:11" x14ac:dyDescent="0.25">
      <c r="A11">
        <v>5.23</v>
      </c>
      <c r="B11" s="5">
        <v>91.7</v>
      </c>
      <c r="D11" s="8">
        <v>91.7</v>
      </c>
      <c r="E11">
        <v>0</v>
      </c>
    </row>
    <row r="12" spans="1:11" x14ac:dyDescent="0.25">
      <c r="B12">
        <v>0</v>
      </c>
      <c r="C12" s="5">
        <v>84.09</v>
      </c>
    </row>
    <row r="13" spans="1:11" x14ac:dyDescent="0.25">
      <c r="C13">
        <v>0</v>
      </c>
      <c r="D13" s="8">
        <v>77.11</v>
      </c>
      <c r="E13">
        <v>0</v>
      </c>
    </row>
    <row r="15" spans="1:11" x14ac:dyDescent="0.25">
      <c r="A15" s="6" t="s">
        <v>14</v>
      </c>
      <c r="C15" s="9"/>
      <c r="D15" s="10"/>
    </row>
    <row r="16" spans="1:11" x14ac:dyDescent="0.25">
      <c r="B16">
        <f>A10*B17</f>
        <v>109.04631784921234</v>
      </c>
      <c r="C16" s="11"/>
      <c r="D16" s="10"/>
    </row>
    <row r="17" spans="1:4" x14ac:dyDescent="0.25">
      <c r="A17" s="1" t="s">
        <v>9</v>
      </c>
      <c r="B17" s="1">
        <f>EXP(I4*SQRT(1/12))</f>
        <v>1.0904631784921235</v>
      </c>
      <c r="C17" s="11">
        <f>B16*B17</f>
        <v>118.91099436471447</v>
      </c>
      <c r="D17" s="10">
        <f>C17*B17</f>
        <v>129.66806087260554</v>
      </c>
    </row>
    <row r="18" spans="1:4" x14ac:dyDescent="0.25">
      <c r="A18" s="1" t="s">
        <v>10</v>
      </c>
      <c r="B18" s="1">
        <f>1/B17</f>
        <v>0.91704151017990843</v>
      </c>
      <c r="C18" s="11">
        <f>B16*B18</f>
        <v>99.999999999999986</v>
      </c>
      <c r="D18" s="10">
        <f>C17*B18</f>
        <v>109.04631784921234</v>
      </c>
    </row>
    <row r="19" spans="1:4" x14ac:dyDescent="0.25">
      <c r="B19">
        <f>A10*B18</f>
        <v>91.704151017990839</v>
      </c>
      <c r="C19" s="11"/>
      <c r="D19" s="10"/>
    </row>
    <row r="20" spans="1:4" x14ac:dyDescent="0.25">
      <c r="C20" s="11"/>
      <c r="D20" s="10"/>
    </row>
    <row r="21" spans="1:4" x14ac:dyDescent="0.25">
      <c r="C21" s="11">
        <f>B11*B17</f>
        <v>99.99547346772772</v>
      </c>
      <c r="D21" s="10">
        <f>C10*B17</f>
        <v>109.04631784921234</v>
      </c>
    </row>
    <row r="22" spans="1:4" x14ac:dyDescent="0.25">
      <c r="C22" s="11">
        <f>B11*B18</f>
        <v>84.092706483497608</v>
      </c>
      <c r="D22" s="10">
        <f>C10*B18</f>
        <v>91.704151017990839</v>
      </c>
    </row>
    <row r="23" spans="1:4" x14ac:dyDescent="0.25">
      <c r="C23" s="11"/>
      <c r="D23" s="10"/>
    </row>
    <row r="24" spans="1:4" x14ac:dyDescent="0.25">
      <c r="C24" s="11"/>
      <c r="D24" s="10"/>
    </row>
    <row r="25" spans="1:4" x14ac:dyDescent="0.25">
      <c r="C25" s="11"/>
      <c r="D25" s="10"/>
    </row>
    <row r="26" spans="1:4" x14ac:dyDescent="0.25">
      <c r="C26" s="11"/>
      <c r="D26" s="10">
        <f>C22*B17</f>
        <v>91.7</v>
      </c>
    </row>
    <row r="27" spans="1:4" x14ac:dyDescent="0.25">
      <c r="C27" s="11"/>
      <c r="D27" s="10">
        <f>C12*B18</f>
        <v>77.114020591028506</v>
      </c>
    </row>
    <row r="30" spans="1:4" x14ac:dyDescent="0.25">
      <c r="A30" t="s">
        <v>15</v>
      </c>
      <c r="B30">
        <f>EXP(I5*SQRT(1/12))</f>
        <v>1.029288218606067</v>
      </c>
      <c r="C30">
        <f>B30-B18</f>
        <v>0.11224670842615858</v>
      </c>
      <c r="D30" s="7">
        <f>C30/(B17-B18)</f>
        <v>0.64724731066522911</v>
      </c>
    </row>
    <row r="31" spans="1:4" x14ac:dyDescent="0.25">
      <c r="A31" t="s">
        <v>17</v>
      </c>
      <c r="D31" s="7">
        <f>1-D30</f>
        <v>0.35275268933477089</v>
      </c>
    </row>
    <row r="33" spans="1:1" x14ac:dyDescent="0.25">
      <c r="A33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0070C0"/>
  </sheetPr>
  <dimension ref="A1:AB116"/>
  <sheetViews>
    <sheetView workbookViewId="0">
      <selection activeCell="H5" sqref="H5"/>
    </sheetView>
  </sheetViews>
  <sheetFormatPr baseColWidth="10" defaultRowHeight="15" x14ac:dyDescent="0.25"/>
  <cols>
    <col min="1" max="1" width="11.42578125" style="18"/>
    <col min="2" max="2" width="19.28515625" bestFit="1" customWidth="1"/>
    <col min="7" max="7" width="11.42578125" style="18"/>
    <col min="8" max="8" width="19" style="18" bestFit="1" customWidth="1"/>
    <col min="9" max="9" width="11.42578125" style="18"/>
    <col min="10" max="10" width="8.85546875" style="18" bestFit="1" customWidth="1"/>
    <col min="11" max="11" width="14.140625" style="18" bestFit="1" customWidth="1"/>
    <col min="12" max="12" width="14.28515625" style="18" bestFit="1" customWidth="1"/>
    <col min="13" max="28" width="11.42578125" style="18"/>
  </cols>
  <sheetData>
    <row r="1" spans="2:13" s="18" customFormat="1" ht="15.75" thickBot="1" x14ac:dyDescent="0.3"/>
    <row r="2" spans="2:13" ht="16.5" thickBot="1" x14ac:dyDescent="0.3">
      <c r="B2" s="63" t="s">
        <v>35</v>
      </c>
      <c r="C2" s="64"/>
      <c r="D2" s="64"/>
      <c r="E2" s="64"/>
      <c r="F2" s="65"/>
      <c r="J2" s="110" t="s">
        <v>58</v>
      </c>
      <c r="K2" s="111"/>
      <c r="L2" s="112"/>
      <c r="M2" s="102"/>
    </row>
    <row r="3" spans="2:13" ht="15.75" thickBot="1" x14ac:dyDescent="0.3">
      <c r="B3" s="34" t="s">
        <v>19</v>
      </c>
      <c r="C3" s="66">
        <v>100</v>
      </c>
      <c r="D3" s="67">
        <f>+C3</f>
        <v>100</v>
      </c>
      <c r="E3" s="68">
        <f t="shared" ref="E3:F7" si="0">+D3</f>
        <v>100</v>
      </c>
      <c r="F3" s="69">
        <f t="shared" si="0"/>
        <v>100</v>
      </c>
      <c r="I3" s="105"/>
      <c r="J3" s="113" t="s">
        <v>56</v>
      </c>
      <c r="K3" s="114" t="s">
        <v>57</v>
      </c>
      <c r="L3" s="118" t="s">
        <v>60</v>
      </c>
    </row>
    <row r="4" spans="2:13" x14ac:dyDescent="0.25">
      <c r="B4" s="34" t="s">
        <v>20</v>
      </c>
      <c r="C4" s="70">
        <v>95</v>
      </c>
      <c r="D4" s="71">
        <f t="shared" ref="D4:D7" si="1">+C4</f>
        <v>95</v>
      </c>
      <c r="E4" s="72">
        <f t="shared" si="0"/>
        <v>95</v>
      </c>
      <c r="F4" s="73">
        <f t="shared" si="0"/>
        <v>95</v>
      </c>
      <c r="I4" s="103" t="s">
        <v>59</v>
      </c>
      <c r="J4" s="115">
        <f>C15</f>
        <v>8.0557492452122599</v>
      </c>
      <c r="K4" s="107">
        <f>'B&amp;S'!E4</f>
        <v>8.0010294769336241</v>
      </c>
      <c r="L4" s="116">
        <f>J4-K4</f>
        <v>5.4719768278635783E-2</v>
      </c>
    </row>
    <row r="5" spans="2:13" x14ac:dyDescent="0.25">
      <c r="B5" s="34" t="s">
        <v>21</v>
      </c>
      <c r="C5" s="74" t="s">
        <v>38</v>
      </c>
      <c r="D5" s="71" t="str">
        <f t="shared" si="1"/>
        <v>0,25</v>
      </c>
      <c r="E5" s="72" t="str">
        <f t="shared" si="0"/>
        <v>0,25</v>
      </c>
      <c r="F5" s="73" t="str">
        <f t="shared" si="0"/>
        <v>0,25</v>
      </c>
      <c r="I5" s="103" t="s">
        <v>27</v>
      </c>
      <c r="J5" s="115">
        <f>C16</f>
        <v>1.4077158683276805</v>
      </c>
      <c r="K5" s="107">
        <f>'B&amp;S'!F4</f>
        <v>1.3529918651155839</v>
      </c>
      <c r="L5" s="116">
        <f>J5-K5</f>
        <v>5.4724003212096584E-2</v>
      </c>
    </row>
    <row r="6" spans="2:13" x14ac:dyDescent="0.25">
      <c r="B6" s="34" t="s">
        <v>22</v>
      </c>
      <c r="C6" s="75">
        <v>0.2</v>
      </c>
      <c r="D6" s="71">
        <f t="shared" si="1"/>
        <v>0.2</v>
      </c>
      <c r="E6" s="72">
        <f t="shared" si="0"/>
        <v>0.2</v>
      </c>
      <c r="F6" s="73">
        <f t="shared" si="0"/>
        <v>0.2</v>
      </c>
      <c r="I6" s="103" t="s">
        <v>29</v>
      </c>
      <c r="J6" s="106"/>
      <c r="K6" s="107">
        <f>'B&amp;S'!E5</f>
        <v>0.82586056410557096</v>
      </c>
      <c r="L6" s="116"/>
    </row>
    <row r="7" spans="2:13" ht="15.75" thickBot="1" x14ac:dyDescent="0.3">
      <c r="B7" s="34" t="s">
        <v>23</v>
      </c>
      <c r="C7" s="75" t="s">
        <v>55</v>
      </c>
      <c r="D7" s="71" t="str">
        <f t="shared" si="1"/>
        <v>0,07</v>
      </c>
      <c r="E7" s="72" t="str">
        <f t="shared" si="0"/>
        <v>0,07</v>
      </c>
      <c r="F7" s="73" t="str">
        <f t="shared" si="0"/>
        <v>0,07</v>
      </c>
      <c r="I7" s="103" t="s">
        <v>32</v>
      </c>
      <c r="J7" s="106"/>
      <c r="K7" s="107">
        <f>'B&amp;S'!E8</f>
        <v>12.848478101162753</v>
      </c>
      <c r="L7" s="116"/>
    </row>
    <row r="8" spans="2:13" ht="15.75" thickBot="1" x14ac:dyDescent="0.3">
      <c r="B8" s="37" t="s">
        <v>61</v>
      </c>
      <c r="C8" s="38">
        <v>50</v>
      </c>
      <c r="D8" s="39">
        <v>100</v>
      </c>
      <c r="E8" s="40">
        <v>500</v>
      </c>
      <c r="F8" s="41">
        <v>1000</v>
      </c>
      <c r="H8" s="18" t="s">
        <v>34</v>
      </c>
      <c r="I8" s="103" t="s">
        <v>30</v>
      </c>
      <c r="J8" s="106"/>
      <c r="K8" s="107">
        <f>'B&amp;S'!E6</f>
        <v>2.5696956202325504E-2</v>
      </c>
      <c r="L8" s="116"/>
    </row>
    <row r="9" spans="2:13" s="18" customFormat="1" ht="15.75" thickBot="1" x14ac:dyDescent="0.3">
      <c r="I9" s="104" t="s">
        <v>33</v>
      </c>
      <c r="J9" s="108"/>
      <c r="K9" s="109">
        <f>'B&amp;S'!E9</f>
        <v>18.646256733405867</v>
      </c>
      <c r="L9" s="117"/>
    </row>
    <row r="10" spans="2:13" ht="16.5" thickBot="1" x14ac:dyDescent="0.3">
      <c r="B10" s="63" t="s">
        <v>36</v>
      </c>
      <c r="C10" s="64"/>
      <c r="D10" s="64"/>
      <c r="E10" s="64"/>
      <c r="F10" s="65"/>
    </row>
    <row r="11" spans="2:13" x14ac:dyDescent="0.25">
      <c r="B11" s="35" t="s">
        <v>26</v>
      </c>
      <c r="C11" s="76">
        <v>6.6480217737965628</v>
      </c>
      <c r="D11" s="77">
        <v>8.0621000164714136</v>
      </c>
      <c r="E11" s="77">
        <v>8.0565170603143095</v>
      </c>
      <c r="F11" s="78">
        <v>8.0557492452122599</v>
      </c>
    </row>
    <row r="12" spans="2:13" ht="15.75" thickBot="1" x14ac:dyDescent="0.3">
      <c r="B12" s="36" t="s">
        <v>27</v>
      </c>
      <c r="C12" s="79">
        <v>1.4199436385932658</v>
      </c>
      <c r="D12" s="80">
        <v>1.4140370931648354</v>
      </c>
      <c r="E12" s="80">
        <v>1.4087294787588525</v>
      </c>
      <c r="F12" s="81">
        <v>1.4077158683276805</v>
      </c>
    </row>
    <row r="13" spans="2:13" ht="15.75" thickBot="1" x14ac:dyDescent="0.3"/>
    <row r="14" spans="2:13" ht="16.5" thickBot="1" x14ac:dyDescent="0.3">
      <c r="B14" s="63" t="s">
        <v>37</v>
      </c>
      <c r="C14" s="64"/>
      <c r="D14" s="64"/>
      <c r="E14" s="64"/>
      <c r="F14" s="65"/>
    </row>
    <row r="15" spans="2:13" x14ac:dyDescent="0.25">
      <c r="B15" s="35" t="s">
        <v>26</v>
      </c>
      <c r="C15" s="82">
        <f>F11</f>
        <v>8.0557492452122599</v>
      </c>
      <c r="D15" s="83"/>
      <c r="E15" s="83"/>
      <c r="F15" s="84"/>
    </row>
    <row r="16" spans="2:13" ht="15.75" thickBot="1" x14ac:dyDescent="0.3">
      <c r="B16" s="36" t="s">
        <v>27</v>
      </c>
      <c r="C16" s="85">
        <f>F12</f>
        <v>1.4077158683276805</v>
      </c>
      <c r="D16" s="86"/>
      <c r="E16" s="86"/>
      <c r="F16" s="87"/>
    </row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s="18" customFormat="1" x14ac:dyDescent="0.25"/>
    <row r="27" s="18" customFormat="1" x14ac:dyDescent="0.25"/>
    <row r="28" s="18" customFormat="1" x14ac:dyDescent="0.25"/>
    <row r="29" s="18" customFormat="1" x14ac:dyDescent="0.25"/>
    <row r="30" s="18" customFormat="1" x14ac:dyDescent="0.25"/>
    <row r="31" s="18" customFormat="1" x14ac:dyDescent="0.25"/>
    <row r="32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1" s="18" customFormat="1" x14ac:dyDescent="0.25"/>
    <row r="42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</sheetData>
  <mergeCells count="6">
    <mergeCell ref="J2:L2"/>
    <mergeCell ref="B2:F2"/>
    <mergeCell ref="B10:F10"/>
    <mergeCell ref="B14:F14"/>
    <mergeCell ref="C15:F15"/>
    <mergeCell ref="C16:F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inoRun">
                <anchor moveWithCells="1" sizeWithCells="1">
                  <from>
                    <xdr:col>1</xdr:col>
                    <xdr:colOff>38100</xdr:colOff>
                    <xdr:row>16</xdr:row>
                    <xdr:rowOff>47625</xdr:rowOff>
                  </from>
                  <to>
                    <xdr:col>5</xdr:col>
                    <xdr:colOff>714375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00B050"/>
  </sheetPr>
  <dimension ref="A1:AJ183"/>
  <sheetViews>
    <sheetView zoomScale="80" zoomScaleNormal="80" workbookViewId="0">
      <selection activeCell="D1" sqref="D1"/>
    </sheetView>
  </sheetViews>
  <sheetFormatPr baseColWidth="10" defaultRowHeight="15" x14ac:dyDescent="0.25"/>
  <cols>
    <col min="1" max="1" width="11.42578125" style="18"/>
    <col min="2" max="2" width="38.7109375" style="18" bestFit="1" customWidth="1"/>
    <col min="3" max="3" width="21.28515625" style="18" bestFit="1" customWidth="1"/>
    <col min="4" max="16384" width="11.42578125" style="18"/>
  </cols>
  <sheetData>
    <row r="1" spans="1:36" customFormat="1" ht="15.75" thickBot="1" x14ac:dyDescent="0.3">
      <c r="A1" s="88"/>
      <c r="B1" s="45" t="s">
        <v>26</v>
      </c>
      <c r="C1" s="62">
        <v>1</v>
      </c>
      <c r="D1" s="90"/>
      <c r="E1" s="90"/>
      <c r="F1" s="90"/>
      <c r="G1" s="90"/>
      <c r="H1" s="90"/>
      <c r="I1" s="90"/>
      <c r="J1" s="90"/>
      <c r="K1" s="90"/>
      <c r="L1" s="89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</row>
    <row r="2" spans="1:36" customFormat="1" ht="15.75" thickBot="1" x14ac:dyDescent="0.3">
      <c r="A2" s="88"/>
      <c r="B2" s="42" t="s">
        <v>47</v>
      </c>
      <c r="C2" s="46">
        <v>100</v>
      </c>
      <c r="D2" s="90"/>
      <c r="E2" s="57" t="s">
        <v>47</v>
      </c>
      <c r="F2" s="101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</row>
    <row r="3" spans="1:36" customFormat="1" ht="15.75" thickBot="1" x14ac:dyDescent="0.3">
      <c r="A3" s="88"/>
      <c r="B3" s="43" t="s">
        <v>48</v>
      </c>
      <c r="C3" s="46">
        <v>95</v>
      </c>
      <c r="D3" s="90"/>
      <c r="E3" s="58" t="s">
        <v>53</v>
      </c>
      <c r="F3" s="59" t="s">
        <v>54</v>
      </c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</row>
    <row r="4" spans="1:36" customFormat="1" x14ac:dyDescent="0.25">
      <c r="A4" s="88"/>
      <c r="B4" s="43" t="s">
        <v>49</v>
      </c>
      <c r="C4" s="46">
        <v>1</v>
      </c>
      <c r="D4" s="90"/>
      <c r="E4" s="60">
        <f>+C2*C13^(C5)</f>
        <v>299.05135096377535</v>
      </c>
      <c r="F4" s="60">
        <f>+MAX($C$1*(E4-$C$3),0)</f>
        <v>204.05135096377535</v>
      </c>
      <c r="G4" s="95"/>
      <c r="H4" s="95"/>
      <c r="I4" s="95"/>
      <c r="J4" s="95"/>
      <c r="K4" s="95"/>
      <c r="L4" s="95"/>
      <c r="M4" s="95"/>
      <c r="N4" s="95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</row>
    <row r="5" spans="1:36" customFormat="1" x14ac:dyDescent="0.25">
      <c r="A5" s="88"/>
      <c r="B5" s="43" t="s">
        <v>50</v>
      </c>
      <c r="C5" s="47">
        <v>30</v>
      </c>
      <c r="D5" s="90"/>
      <c r="E5" s="60"/>
      <c r="F5" s="60"/>
      <c r="G5" s="95">
        <f>+EXP(-$C$9*$C$6)*($C$17*F4+$C$20*F6)</f>
        <v>193.48670397463255</v>
      </c>
      <c r="H5" s="95"/>
      <c r="I5" s="95"/>
      <c r="J5" s="95"/>
      <c r="K5" s="95"/>
      <c r="L5" s="95"/>
      <c r="M5" s="95"/>
      <c r="N5" s="95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</row>
    <row r="6" spans="1:36" customFormat="1" x14ac:dyDescent="0.25">
      <c r="A6" s="88"/>
      <c r="B6" s="43" t="s">
        <v>51</v>
      </c>
      <c r="C6" s="46">
        <v>0.05</v>
      </c>
      <c r="D6" s="90"/>
      <c r="E6" s="60">
        <f>+E4*$C$14^2</f>
        <v>277.99013478175033</v>
      </c>
      <c r="F6" s="60">
        <f>+MAX($C$1*(E6-$C$3),0)</f>
        <v>182.99013478175033</v>
      </c>
      <c r="G6" s="95"/>
      <c r="H6" s="95">
        <f>+EXP(-$C$9*$C$6)*($C$17*G5+$C$20*G7)</f>
        <v>183.30627425657056</v>
      </c>
      <c r="I6" s="95"/>
      <c r="J6" s="95"/>
      <c r="K6" s="95"/>
      <c r="L6" s="95"/>
      <c r="M6" s="95"/>
      <c r="N6" s="95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</row>
    <row r="7" spans="1:36" customFormat="1" x14ac:dyDescent="0.25">
      <c r="A7" s="88"/>
      <c r="B7" s="43" t="s">
        <v>52</v>
      </c>
      <c r="C7" s="46">
        <v>0</v>
      </c>
      <c r="D7" s="90"/>
      <c r="E7" s="60"/>
      <c r="F7" s="60"/>
      <c r="G7" s="95">
        <f>+EXP(-$C$9*$C$6)*($C$17*F6+$C$20*F8)</f>
        <v>173.18066321178614</v>
      </c>
      <c r="H7" s="95"/>
      <c r="I7" s="95">
        <f>+EXP(-$C$9*$C$6)*($C$17*H6+$C$20*H8)</f>
        <v>173.49627622632045</v>
      </c>
      <c r="J7" s="95"/>
      <c r="K7" s="95"/>
      <c r="L7" s="95"/>
      <c r="M7" s="95"/>
      <c r="N7" s="95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</row>
    <row r="8" spans="1:36" customFormat="1" x14ac:dyDescent="0.25">
      <c r="A8" s="88"/>
      <c r="B8" s="43" t="s">
        <v>40</v>
      </c>
      <c r="C8" s="46">
        <f>C6+C7</f>
        <v>0.05</v>
      </c>
      <c r="D8" s="90"/>
      <c r="E8" s="60">
        <f t="shared" ref="E8:E60" si="0">+E6*$C$14^2</f>
        <v>258.41219170862934</v>
      </c>
      <c r="F8" s="60">
        <f>+MAX($C$1*(E8-$C$3),0)</f>
        <v>163.41219170862934</v>
      </c>
      <c r="G8" s="95"/>
      <c r="H8" s="95">
        <f>+EXP(-$C$9*$C$6)*($C$17*G7+$C$20*G9)</f>
        <v>163.72833118344957</v>
      </c>
      <c r="I8" s="95"/>
      <c r="J8" s="95">
        <f>+EXP(-$C$9*$C$6)*($C$17*I7+$C$20*I9)</f>
        <v>164.04341861440099</v>
      </c>
      <c r="K8" s="95"/>
      <c r="L8" s="95"/>
      <c r="M8" s="95"/>
      <c r="N8" s="95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</row>
    <row r="9" spans="1:36" customFormat="1" x14ac:dyDescent="0.25">
      <c r="A9" s="88"/>
      <c r="B9" s="43" t="s">
        <v>41</v>
      </c>
      <c r="C9" s="46">
        <f>C4/C5</f>
        <v>3.3333333333333333E-2</v>
      </c>
      <c r="D9" s="90"/>
      <c r="E9" s="60"/>
      <c r="F9" s="60"/>
      <c r="G9" s="95">
        <f>+EXP(-$C$9*$C$6)*($C$17*F8+$C$20*F10)</f>
        <v>154.30471100372816</v>
      </c>
      <c r="H9" s="95"/>
      <c r="I9" s="95">
        <f>+EXP(-$C$9*$C$6)*($C$17*H8+$C$20*H10)</f>
        <v>154.62032401826249</v>
      </c>
      <c r="J9" s="95"/>
      <c r="K9" s="95">
        <f>+EXP(-$C$9*$C$6)*($C$17*J8+$C$20*J10)</f>
        <v>154.93488674087405</v>
      </c>
      <c r="L9" s="95"/>
      <c r="M9" s="95"/>
      <c r="N9" s="95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</row>
    <row r="10" spans="1:36" customFormat="1" ht="15.75" thickBot="1" x14ac:dyDescent="0.3">
      <c r="A10" s="88"/>
      <c r="B10" s="44" t="s">
        <v>22</v>
      </c>
      <c r="C10" s="56">
        <v>0.2</v>
      </c>
      <c r="D10" s="90"/>
      <c r="E10" s="60">
        <f t="shared" si="0"/>
        <v>240.21305963279534</v>
      </c>
      <c r="F10" s="60">
        <f>+MAX($C$1*(E10-$C$3),0)</f>
        <v>145.21305963279534</v>
      </c>
      <c r="G10" s="95"/>
      <c r="H10" s="95">
        <f>+EXP(-$C$9*$C$6)*($C$17*G9+$C$20*G11)</f>
        <v>145.52919910761557</v>
      </c>
      <c r="I10" s="95"/>
      <c r="J10" s="95">
        <f>+EXP(-$C$9*$C$6)*($C$17*I9+$C$20*I11)</f>
        <v>145.84428653856699</v>
      </c>
      <c r="K10" s="95"/>
      <c r="L10" s="95">
        <f>+EXP(-$C$9*$C$6)*($C$17*K9+$C$20*K11)</f>
        <v>146.15832542662426</v>
      </c>
      <c r="M10" s="95"/>
      <c r="N10" s="95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</row>
    <row r="11" spans="1:36" customFormat="1" x14ac:dyDescent="0.25">
      <c r="A11" s="88"/>
      <c r="B11" s="88"/>
      <c r="C11" s="88"/>
      <c r="D11" s="90"/>
      <c r="E11" s="60"/>
      <c r="F11" s="60"/>
      <c r="G11" s="95">
        <f>+EXP(-$C$9*$C$6)*($C$17*F10+$C$20*F12)</f>
        <v>136.75813085439611</v>
      </c>
      <c r="H11" s="95"/>
      <c r="I11" s="95">
        <f>+EXP(-$C$9*$C$6)*($C$17*H10+$C$20*H12)</f>
        <v>137.07374386893042</v>
      </c>
      <c r="J11" s="95"/>
      <c r="K11" s="95">
        <f>+EXP(-$C$9*$C$6)*($C$17*J10+$C$20*J12)</f>
        <v>137.388306591542</v>
      </c>
      <c r="L11" s="95"/>
      <c r="M11" s="96">
        <f>+EXP(-$C$9*$C$6)*($C$17*L10+$C$20*L12)</f>
        <v>188.88453811774571</v>
      </c>
      <c r="N11" s="95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</row>
    <row r="12" spans="1:36" customFormat="1" ht="15.75" thickBot="1" x14ac:dyDescent="0.3">
      <c r="A12" s="88"/>
      <c r="B12" s="88"/>
      <c r="C12" s="88"/>
      <c r="D12" s="90"/>
      <c r="E12" s="60">
        <f t="shared" si="0"/>
        <v>223.29563337015725</v>
      </c>
      <c r="F12" s="60">
        <f>+MAX($C$1*(E12-$C$3),0)</f>
        <v>128.29563337015725</v>
      </c>
      <c r="G12" s="95"/>
      <c r="H12" s="95">
        <f>+EXP(-$C$9*$C$6)*($C$17*G11+$C$20*G13)</f>
        <v>128.61177284497748</v>
      </c>
      <c r="I12" s="95"/>
      <c r="J12" s="95">
        <f>+EXP(-$C$9*$C$6)*($C$17*I11+$C$20*I13)</f>
        <v>128.92686027592887</v>
      </c>
      <c r="K12" s="95"/>
      <c r="L12" s="95">
        <v>234.66746306653997</v>
      </c>
      <c r="M12" s="95"/>
      <c r="N12" s="95">
        <f>+EXP(-$C$9*$C$6)*($C$17*M11+$C$20*M13)</f>
        <v>202.44711868262863</v>
      </c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</row>
    <row r="13" spans="1:36" customFormat="1" x14ac:dyDescent="0.25">
      <c r="A13" s="88"/>
      <c r="B13" s="48" t="s">
        <v>42</v>
      </c>
      <c r="C13" s="51">
        <f>+EXP(C10*SQRT(C9))</f>
        <v>1.0371896928602811</v>
      </c>
      <c r="D13" s="90"/>
      <c r="E13" s="60"/>
      <c r="F13" s="60"/>
      <c r="G13" s="95">
        <f>+EXP(-$C$9*$C$6)*($C$17*F12+$C$20*F14)</f>
        <v>120.44729940370505</v>
      </c>
      <c r="H13" s="95"/>
      <c r="I13" s="95">
        <f>+EXP(-$C$9*$C$6)*($C$17*H12+$C$20*H14)</f>
        <v>120.76291241823938</v>
      </c>
      <c r="J13" s="95"/>
      <c r="K13" s="95">
        <f>+EXP(-$C$9*$C$6)*($C$17*J12+$C$20*J14)</f>
        <v>121.07747514085094</v>
      </c>
      <c r="L13" s="95"/>
      <c r="M13" s="95">
        <f t="shared" ref="M13:M15" si="1">+EXP(-$C$9*$C$6)*($C$17*L12+$C$20*L14)</f>
        <v>217.46875227973374</v>
      </c>
      <c r="N13" s="95"/>
      <c r="O13" s="95">
        <f>+EXP(-$C$9*$C$6)*($C$17*N12+$C$20*N14)</f>
        <v>201.49158597335389</v>
      </c>
      <c r="P13" s="95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</row>
    <row r="14" spans="1:36" customFormat="1" ht="15.75" thickBot="1" x14ac:dyDescent="0.3">
      <c r="A14" s="88"/>
      <c r="B14" s="49" t="s">
        <v>43</v>
      </c>
      <c r="C14" s="52">
        <f>1/C13</f>
        <v>0.96414378862778494</v>
      </c>
      <c r="D14" s="90"/>
      <c r="E14" s="60">
        <f t="shared" si="0"/>
        <v>207.56964653961873</v>
      </c>
      <c r="F14" s="60">
        <f>+MAX($C$1*(E14-$C$3),0)</f>
        <v>112.56964653961873</v>
      </c>
      <c r="G14" s="95"/>
      <c r="H14" s="95">
        <f>+EXP(-$C$9*$C$6)*($C$17*G13+$C$20*G15)</f>
        <v>112.88578601443898</v>
      </c>
      <c r="I14" s="95"/>
      <c r="J14" s="95">
        <f>+EXP(-$C$9*$C$6)*($C$17*I13+$C$20*I15)</f>
        <v>113.20087344539039</v>
      </c>
      <c r="K14" s="95"/>
      <c r="L14" s="95">
        <v>200.04636758885883</v>
      </c>
      <c r="M14" s="95"/>
      <c r="N14" s="95">
        <f>+EXP(-$C$9*$C$6)*($C$17*M13+$C$20*M15)</f>
        <v>201.1733296115404</v>
      </c>
      <c r="O14" s="95"/>
      <c r="P14" s="95">
        <f>+EXP(-$C$9*$C$6)*($C$17*O13+$C$20*O15)</f>
        <v>193.50610503105602</v>
      </c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</row>
    <row r="15" spans="1:36" customFormat="1" x14ac:dyDescent="0.25">
      <c r="A15" s="88"/>
      <c r="B15" s="88"/>
      <c r="C15" s="92"/>
      <c r="D15" s="90"/>
      <c r="E15" s="60"/>
      <c r="F15" s="60"/>
      <c r="G15" s="95">
        <f>+EXP(-$C$9*$C$6)*($C$17*F14+$C$20*F16)</f>
        <v>105.28518688099901</v>
      </c>
      <c r="H15" s="95"/>
      <c r="I15" s="95">
        <f>+EXP(-$C$9*$C$6)*($C$17*H14+$C$20*H16)</f>
        <v>105.60079989553331</v>
      </c>
      <c r="J15" s="95"/>
      <c r="K15" s="95">
        <f>+EXP(-$C$9*$C$6)*($C$17*J14+$C$20*J16)</f>
        <v>105.9153626181449</v>
      </c>
      <c r="L15" s="95"/>
      <c r="M15" s="95">
        <f t="shared" si="1"/>
        <v>184.64926261326423</v>
      </c>
      <c r="N15" s="95"/>
      <c r="O15" s="95">
        <f>+EXP(-$C$9*$C$6)*($C$17*N14+$C$20*N16)</f>
        <v>185.73417610101691</v>
      </c>
      <c r="P15" s="95"/>
      <c r="Q15" s="97">
        <f>+EXP(-$C$9*$C$6)*($C$17*P14+$C$20*P16)</f>
        <v>182.30936150818405</v>
      </c>
      <c r="R15" s="95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</row>
    <row r="16" spans="1:36" customFormat="1" ht="15.75" thickBot="1" x14ac:dyDescent="0.3">
      <c r="A16" s="88"/>
      <c r="B16" s="88"/>
      <c r="C16" s="92"/>
      <c r="D16" s="90"/>
      <c r="E16" s="60">
        <f t="shared" si="0"/>
        <v>192.95118992837612</v>
      </c>
      <c r="F16" s="60">
        <f>+MAX($C$1*(E16-$C$3),0)</f>
        <v>97.951189928376124</v>
      </c>
      <c r="G16" s="95"/>
      <c r="H16" s="95">
        <f>+EXP(-$C$9*$C$6)*($C$17*G15+$C$20*G17)</f>
        <v>98.267329403196371</v>
      </c>
      <c r="I16" s="95"/>
      <c r="J16" s="95">
        <f>+EXP(-$C$9*$C$6)*($C$17*I15+$C$20*I17)</f>
        <v>98.582416834147807</v>
      </c>
      <c r="K16" s="95"/>
      <c r="L16" s="95">
        <v>169.01747837470867</v>
      </c>
      <c r="M16" s="95"/>
      <c r="N16" s="95">
        <f>+EXP(-$C$9*$C$6)*($C$17*M15+$C$20*M17)</f>
        <v>170.0616941446074</v>
      </c>
      <c r="O16" s="95"/>
      <c r="P16" s="95">
        <f>+EXP(-$C$9*$C$6)*($C$17*O15+$C$20*O17)</f>
        <v>171.1067195737665</v>
      </c>
      <c r="Q16" s="95"/>
      <c r="R16" s="95">
        <f>+EXP(-$C$9*$C$6)*($C$17*Q15+$C$20*Q17)</f>
        <v>169.83926519780434</v>
      </c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</row>
    <row r="17" spans="1:36" customFormat="1" ht="15.75" thickBot="1" x14ac:dyDescent="0.3">
      <c r="A17" s="88"/>
      <c r="B17" s="50" t="s">
        <v>44</v>
      </c>
      <c r="C17" s="53">
        <f>+(EXP(C8*C9)-C14)/(C13-C14)</f>
        <v>0.51370803187351821</v>
      </c>
      <c r="D17" s="90"/>
      <c r="E17" s="60"/>
      <c r="F17" s="60"/>
      <c r="G17" s="95">
        <f>+EXP(-$C$9*$C$6)*($C$17*F16+$C$20*F18)</f>
        <v>91.190892739944672</v>
      </c>
      <c r="H17" s="95"/>
      <c r="I17" s="95">
        <f>+EXP(-$C$9*$C$6)*($C$17*H16+$C$20*H18)</f>
        <v>91.506505754478994</v>
      </c>
      <c r="J17" s="95"/>
      <c r="K17" s="95">
        <f>+EXP(-$C$9*$C$6)*($C$17*J16+$C$20*J18)</f>
        <v>91.821068477090577</v>
      </c>
      <c r="L17" s="95"/>
      <c r="M17" s="95">
        <f>+EXP(-$C$9*$C$6)*($C$17*L16+$C$20*L18)</f>
        <v>155.23504868169414</v>
      </c>
      <c r="N17" s="95"/>
      <c r="O17" s="95">
        <f>+EXP(-$C$9*$C$6)*($C$17*N16+$C$20*N18)</f>
        <v>156.24152185002092</v>
      </c>
      <c r="P17" s="95"/>
      <c r="Q17" s="97">
        <f>+EXP(-$C$9*$C$6)*($C$17*P16+$C$20*P18)</f>
        <v>157.24870731649918</v>
      </c>
      <c r="R17" s="95"/>
      <c r="S17" s="95">
        <f>+EXP(-$C$9*$C$6)*($C$17*R16+$C$20*R18)</f>
        <v>157.07023262891084</v>
      </c>
      <c r="T17" s="95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</row>
    <row r="18" spans="1:36" customFormat="1" x14ac:dyDescent="0.25">
      <c r="A18" s="88"/>
      <c r="B18" s="88"/>
      <c r="C18" s="92"/>
      <c r="D18" s="90"/>
      <c r="E18" s="60">
        <f t="shared" si="0"/>
        <v>179.3622637771856</v>
      </c>
      <c r="F18" s="60">
        <f>+MAX($C$1*(E18-$C$3),0)</f>
        <v>84.362263777185603</v>
      </c>
      <c r="G18" s="95"/>
      <c r="H18" s="95">
        <f>+EXP(-$C$9*$C$6)*($C$17*G17+$C$20*G19)</f>
        <v>84.678403252005864</v>
      </c>
      <c r="I18" s="95"/>
      <c r="J18" s="95">
        <f>+EXP(-$C$9*$C$6)*($C$17*I17+$C$20*I19)</f>
        <v>84.993490682957287</v>
      </c>
      <c r="K18" s="95"/>
      <c r="L18" s="95">
        <v>141.20807625787862</v>
      </c>
      <c r="M18" s="95"/>
      <c r="N18" s="95">
        <f>+EXP(-$C$9*$C$6)*($C$17*M17+$C$20*M19)</f>
        <v>142.17813133831737</v>
      </c>
      <c r="O18" s="95"/>
      <c r="P18" s="95">
        <f>+EXP(-$C$9*$C$6)*($C$17*O17+$C$20*O19)</f>
        <v>143.14879831008756</v>
      </c>
      <c r="Q18" s="95"/>
      <c r="R18" s="95">
        <f>+EXP(-$C$9*$C$6)*($C$17*Q17+$C$20*Q19)</f>
        <v>144.12008537732919</v>
      </c>
      <c r="S18" s="95"/>
      <c r="T18" s="95">
        <f>+EXP(-$C$9*$C$6)*($C$17*S17+$C$20*S19)</f>
        <v>144.48356224991105</v>
      </c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</row>
    <row r="19" spans="1:36" customFormat="1" ht="15.75" thickBot="1" x14ac:dyDescent="0.3">
      <c r="A19" s="88"/>
      <c r="B19" s="88"/>
      <c r="C19" s="92"/>
      <c r="D19" s="90"/>
      <c r="E19" s="60"/>
      <c r="F19" s="60"/>
      <c r="G19" s="95">
        <f>+EXP(-$C$9*$C$6)*($C$17*F18+$C$20*F20)</f>
        <v>78.089213997152655</v>
      </c>
      <c r="H19" s="95"/>
      <c r="I19" s="95">
        <f>+EXP(-$C$9*$C$6)*($C$17*H18+$C$20*H20)</f>
        <v>78.40482701168699</v>
      </c>
      <c r="J19" s="95"/>
      <c r="K19" s="95">
        <f>+EXP(-$C$9*$C$6)*($C$17*J18+$C$20*J20)</f>
        <v>78.719389734298574</v>
      </c>
      <c r="L19" s="95"/>
      <c r="M19" s="95">
        <f>+EXP(-$C$9*$C$6)*($C$17*L18+$C$20*L20)</f>
        <v>128.872786806059</v>
      </c>
      <c r="N19" s="95"/>
      <c r="O19" s="95">
        <f>+EXP(-$C$9*$C$6)*($C$17*N18+$C$20*N20)</f>
        <v>129.80895844441366</v>
      </c>
      <c r="P19" s="95"/>
      <c r="Q19" s="97">
        <f>+EXP(-$C$9*$C$6)*($C$17*P18+$C$20*P20)</f>
        <v>130.74565490439986</v>
      </c>
      <c r="R19" s="95"/>
      <c r="S19" s="95">
        <f>+EXP(-$C$9*$C$6)*($C$17*R18+$C$20*R20)</f>
        <v>131.68288414701971</v>
      </c>
      <c r="T19" s="95"/>
      <c r="U19" s="95">
        <f>+EXP(-$C$9*$C$6)*($C$17*T18+$C$20*T20)</f>
        <v>132.30861489029127</v>
      </c>
      <c r="V19" s="95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</row>
    <row r="20" spans="1:36" customFormat="1" ht="15.75" thickBot="1" x14ac:dyDescent="0.3">
      <c r="A20" s="88"/>
      <c r="B20" s="50" t="s">
        <v>45</v>
      </c>
      <c r="C20" s="53">
        <f>1-C17</f>
        <v>0.48629196812648179</v>
      </c>
      <c r="D20" s="90"/>
      <c r="E20" s="60">
        <f t="shared" si="0"/>
        <v>166.730361596726</v>
      </c>
      <c r="F20" s="60">
        <f>+MAX($C$1*(E20-$C$3),0)</f>
        <v>71.730361596725999</v>
      </c>
      <c r="G20" s="95"/>
      <c r="H20" s="95">
        <f>+EXP(-$C$9*$C$6)*($C$17*G19+$C$20*G21)</f>
        <v>72.04650107154626</v>
      </c>
      <c r="I20" s="95"/>
      <c r="J20" s="95">
        <f>+EXP(-$C$9*$C$6)*($C$17*I19+$C$20*I21)</f>
        <v>72.361588502497682</v>
      </c>
      <c r="K20" s="95"/>
      <c r="L20" s="95">
        <v>116.28411456662749</v>
      </c>
      <c r="M20" s="95"/>
      <c r="N20" s="95">
        <f>+EXP(-$C$9*$C$6)*($C$17*M19+$C$20*M21)</f>
        <v>117.18770370237127</v>
      </c>
      <c r="O20" s="95"/>
      <c r="P20" s="95">
        <f>+EXP(-$C$9*$C$6)*($C$17*O19+$C$20*O21)</f>
        <v>118.09172748146885</v>
      </c>
      <c r="Q20" s="95"/>
      <c r="R20" s="95">
        <f>+EXP(-$C$9*$C$6)*($C$17*Q19+$C$20*Q21)</f>
        <v>118.99619363538444</v>
      </c>
      <c r="S20" s="95"/>
      <c r="T20" s="95">
        <f>+EXP(-$C$9*$C$6)*($C$17*S19+$C$20*S21)</f>
        <v>119.90110989432863</v>
      </c>
      <c r="U20" s="95"/>
      <c r="V20" s="95">
        <f>+EXP(-$C$9*$C$6)*($C$17*U19+$C$20*U21)</f>
        <v>120.64656847736757</v>
      </c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</row>
    <row r="21" spans="1:36" customFormat="1" ht="15.75" thickBot="1" x14ac:dyDescent="0.3">
      <c r="A21" s="88"/>
      <c r="B21" s="88"/>
      <c r="C21" s="92"/>
      <c r="D21" s="90"/>
      <c r="E21" s="60"/>
      <c r="F21" s="60"/>
      <c r="G21" s="95">
        <f>+EXP(-$C$9*$C$6)*($C$17*F20+$C$20*F22)</f>
        <v>65.910243971308759</v>
      </c>
      <c r="H21" s="95"/>
      <c r="I21" s="95">
        <f>+EXP(-$C$9*$C$6)*($C$17*H20+$C$20*H22)</f>
        <v>66.225856985843095</v>
      </c>
      <c r="J21" s="95"/>
      <c r="K21" s="95">
        <f>+EXP(-$C$9*$C$6)*($C$17*J20+$C$20*J22)</f>
        <v>66.540419708454664</v>
      </c>
      <c r="L21" s="95"/>
      <c r="M21" s="95">
        <f>+EXP(-$C$9*$C$6)*($C$17*L20+$C$20*L22)</f>
        <v>105.24581337014257</v>
      </c>
      <c r="N21" s="95"/>
      <c r="O21" s="95">
        <f>+EXP(-$C$9*$C$6)*($C$17*N20+$C$20*N22)</f>
        <v>106.11897780566349</v>
      </c>
      <c r="P21" s="95"/>
      <c r="Q21" s="97">
        <f>+EXP(-$C$9*$C$6)*($C$17*P20+$C$20*P22)</f>
        <v>106.99249903843396</v>
      </c>
      <c r="R21" s="95"/>
      <c r="S21" s="95">
        <f>+EXP(-$C$9*$C$6)*($C$17*R20+$C$20*R22)</f>
        <v>107.86638458137736</v>
      </c>
      <c r="T21" s="95"/>
      <c r="U21" s="95">
        <f>+EXP(-$C$9*$C$6)*($C$17*T20+$C$20*T22)</f>
        <v>108.74087803224562</v>
      </c>
      <c r="V21" s="95"/>
      <c r="W21" s="95">
        <f>+EXP(-$C$9*$C$6)*($C$17*V20+$C$20*V22)</f>
        <v>108.27883840694201</v>
      </c>
      <c r="X21" s="95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</row>
    <row r="22" spans="1:36" customFormat="1" ht="15.75" thickBot="1" x14ac:dyDescent="0.3">
      <c r="A22" s="88"/>
      <c r="B22" s="55" t="s">
        <v>46</v>
      </c>
      <c r="C22" s="54">
        <f>+AJ34</f>
        <v>16.21867185964522</v>
      </c>
      <c r="D22" s="90"/>
      <c r="E22" s="60">
        <f t="shared" si="0"/>
        <v>154.98808329442463</v>
      </c>
      <c r="F22" s="60">
        <f>+MAX($C$1*(E22-$C$3),0)</f>
        <v>59.988083294424627</v>
      </c>
      <c r="G22" s="95"/>
      <c r="H22" s="95">
        <f>+EXP(-$C$9*$C$6)*($C$17*G21+$C$20*G23)</f>
        <v>60.304222769244895</v>
      </c>
      <c r="I22" s="95"/>
      <c r="J22" s="95">
        <f>+EXP(-$C$9*$C$6)*($C$17*I21+$C$20*I23)</f>
        <v>60.619310200196324</v>
      </c>
      <c r="K22" s="95"/>
      <c r="L22" s="95">
        <v>93.946206553459319</v>
      </c>
      <c r="M22" s="95"/>
      <c r="N22" s="95">
        <f>+EXP(-$C$9*$C$6)*($C$17*M21+$C$20*M23)</f>
        <v>94.790226100026331</v>
      </c>
      <c r="O22" s="95"/>
      <c r="P22" s="95">
        <f>+EXP(-$C$9*$C$6)*($C$17*O21+$C$20*O23)</f>
        <v>95.634521432817294</v>
      </c>
      <c r="Q22" s="95"/>
      <c r="R22" s="95">
        <f>+EXP(-$C$9*$C$6)*($C$17*Q21+$C$20*Q23)</f>
        <v>96.479099859664302</v>
      </c>
      <c r="S22" s="95"/>
      <c r="T22" s="95">
        <f>+EXP(-$C$9*$C$6)*($C$17*S21+$C$20*S23)</f>
        <v>97.324454979127921</v>
      </c>
      <c r="U22" s="95"/>
      <c r="V22" s="95">
        <v>95.585256204739949</v>
      </c>
      <c r="W22" s="95"/>
      <c r="X22" s="95">
        <f>+EXP(-$C$9*$C$6)*($C$17*W21+$C$20*W23)</f>
        <v>97.690286570567437</v>
      </c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</row>
    <row r="23" spans="1:36" customFormat="1" x14ac:dyDescent="0.25">
      <c r="A23" s="88"/>
      <c r="B23" s="88"/>
      <c r="C23" s="92"/>
      <c r="D23" s="90"/>
      <c r="E23" s="60"/>
      <c r="F23" s="60"/>
      <c r="G23" s="95">
        <f>+EXP(-$C$9*$C$6)*($C$17*F22+$C$20*F24)</f>
        <v>54.588999281806075</v>
      </c>
      <c r="H23" s="95"/>
      <c r="I23" s="95">
        <f>+EXP(-$C$9*$C$6)*($C$17*H22+$C$20*H24)</f>
        <v>54.904612296340417</v>
      </c>
      <c r="J23" s="95"/>
      <c r="K23" s="95">
        <f>+EXP(-$C$9*$C$6)*($C$17*J22+$C$20*J24)</f>
        <v>55.219175018952001</v>
      </c>
      <c r="L23" s="95"/>
      <c r="M23" s="95">
        <f>+EXP(-$C$9*$C$6)*($C$17*L22+$C$20*L24)</f>
        <v>84.07032105559891</v>
      </c>
      <c r="N23" s="95"/>
      <c r="O23" s="95">
        <f>+EXP(-$C$9*$C$6)*($C$17*N22+$C$20*N24)</f>
        <v>84.887015772601472</v>
      </c>
      <c r="P23" s="95"/>
      <c r="Q23" s="97">
        <f>+EXP(-$C$9*$C$6)*($C$17*P22+$C$20*P24)</f>
        <v>85.703916696300041</v>
      </c>
      <c r="R23" s="95"/>
      <c r="S23" s="95">
        <f>+EXP(-$C$9*$C$6)*($C$17*R22+$C$20*R24)</f>
        <v>86.522032608442672</v>
      </c>
      <c r="T23" s="95"/>
      <c r="U23" s="95">
        <f>+EXP(-$C$9*$C$6)*($C$17*T22+$C$20*T24)</f>
        <v>87.342483068919037</v>
      </c>
      <c r="V23" s="95"/>
      <c r="W23" s="95">
        <f>+EXP(-$C$9*$C$6)*($C$17*V22+$C$20*V24)</f>
        <v>86.839868366179672</v>
      </c>
      <c r="X23" s="95"/>
      <c r="Y23" s="95">
        <f>+EXP(-$C$9*$C$6)*($C$17*X22+$C$20*X24)</f>
        <v>87.981180197275862</v>
      </c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</row>
    <row r="24" spans="1:36" customFormat="1" x14ac:dyDescent="0.25">
      <c r="A24" s="88"/>
      <c r="B24" s="93"/>
      <c r="C24" s="92"/>
      <c r="D24" s="90"/>
      <c r="E24" s="60">
        <f t="shared" si="0"/>
        <v>144.07277554750533</v>
      </c>
      <c r="F24" s="60">
        <f>+MAX($C$1*(E24-$C$3),0)</f>
        <v>49.07277554750533</v>
      </c>
      <c r="G24" s="95"/>
      <c r="H24" s="95">
        <f>+EXP(-$C$9*$C$6)*($C$17*G23+$C$20*G25)</f>
        <v>49.388915022325591</v>
      </c>
      <c r="I24" s="95"/>
      <c r="J24" s="95">
        <f>+EXP(-$C$9*$C$6)*($C$17*I23+$C$20*I25)</f>
        <v>49.70400245327702</v>
      </c>
      <c r="K24" s="95"/>
      <c r="L24" s="95">
        <v>73.926029160074989</v>
      </c>
      <c r="M24" s="95"/>
      <c r="N24" s="95">
        <f>+EXP(-$C$9*$C$6)*($C$17*M23+$C$20*M25)</f>
        <v>74.716659922792346</v>
      </c>
      <c r="O24" s="95"/>
      <c r="P24" s="95">
        <f>+EXP(-$C$9*$C$6)*($C$17*O23+$C$20*O25)</f>
        <v>75.50742409725882</v>
      </c>
      <c r="Q24" s="95"/>
      <c r="R24" s="95">
        <f>+EXP(-$C$9*$C$6)*($C$17*Q23+$C$20*Q25)</f>
        <v>76.300391860295761</v>
      </c>
      <c r="S24" s="95"/>
      <c r="T24" s="95">
        <f>+EXP(-$C$9*$C$6)*($C$17*S23+$C$20*S25)</f>
        <v>77.097347863697593</v>
      </c>
      <c r="U24" s="95"/>
      <c r="V24" s="95">
        <f>+EXP(-$C$9*$C$6)*($C$17*U23+$C$20*U25)</f>
        <v>77.899309057002142</v>
      </c>
      <c r="W24" s="95"/>
      <c r="X24" s="95">
        <f>+EXP(-$C$9*$C$6)*($C$17*W23+$C$20*W25)</f>
        <v>78.026484912882935</v>
      </c>
      <c r="Y24" s="95"/>
      <c r="Z24" s="96">
        <f>+EXP(-$C$9*$C$6)*($C$17*Y23+$C$20*Y25)</f>
        <v>78.830851170468165</v>
      </c>
      <c r="AA24" s="88"/>
      <c r="AB24" s="88"/>
      <c r="AC24" s="88"/>
      <c r="AD24" s="88"/>
      <c r="AE24" s="88"/>
      <c r="AF24" s="88"/>
      <c r="AG24" s="88"/>
      <c r="AH24" s="88"/>
      <c r="AI24" s="88"/>
      <c r="AJ24" s="88"/>
    </row>
    <row r="25" spans="1:36" customFormat="1" x14ac:dyDescent="0.25">
      <c r="A25" s="88"/>
      <c r="B25" s="93"/>
      <c r="C25" s="94"/>
      <c r="D25" s="90"/>
      <c r="E25" s="60"/>
      <c r="F25" s="60"/>
      <c r="G25" s="95">
        <f>+EXP(-$C$9*$C$6)*($C$17*F24+$C$20*F26)</f>
        <v>44.065073116653096</v>
      </c>
      <c r="H25" s="95"/>
      <c r="I25" s="95">
        <f>+EXP(-$C$9*$C$6)*($C$17*H24+$C$20*H26)</f>
        <v>44.380686131187424</v>
      </c>
      <c r="J25" s="95"/>
      <c r="K25" s="95">
        <f>+EXP(-$C$9*$C$6)*($C$17*J24+$C$20*J26)</f>
        <v>44.695248853799008</v>
      </c>
      <c r="L25" s="95"/>
      <c r="M25" s="95">
        <f>+EXP(-$C$9*$C$6)*($C$17*L24+$C$20*L26)</f>
        <v>65.0919497470816</v>
      </c>
      <c r="N25" s="95"/>
      <c r="O25" s="95">
        <f>+EXP(-$C$9*$C$6)*($C$17*N24+$C$20*N26)</f>
        <v>65.858033915351228</v>
      </c>
      <c r="P25" s="95"/>
      <c r="Q25" s="97">
        <f>+EXP(-$C$9*$C$6)*($C$17*P24+$C$20*P26)</f>
        <v>66.628439220678558</v>
      </c>
      <c r="R25" s="95"/>
      <c r="S25" s="95">
        <f>+EXP(-$C$9*$C$6)*($C$17*R24+$C$20*R26)</f>
        <v>67.405776048369077</v>
      </c>
      <c r="T25" s="95"/>
      <c r="U25" s="95">
        <f>+EXP(-$C$9*$C$6)*($C$17*T24+$C$20*T26)</f>
        <v>68.190956440958004</v>
      </c>
      <c r="V25" s="95"/>
      <c r="W25" s="95">
        <f>+EXP(-$C$9*$C$6)*($C$17*V24+$C$20*V26)</f>
        <v>68.983865284573838</v>
      </c>
      <c r="X25" s="95"/>
      <c r="Y25" s="95">
        <f>+EXP(-$C$9*$C$6)*($C$17*X24+$C$20*X26)</f>
        <v>69.435048823857301</v>
      </c>
      <c r="Z25" s="95"/>
      <c r="AA25" s="95">
        <f>+EXP(-$C$9*$C$6)*($C$17*Z24+$C$20*Z26)</f>
        <v>70.150208005363041</v>
      </c>
      <c r="AB25" s="88"/>
      <c r="AC25" s="88"/>
      <c r="AD25" s="88"/>
      <c r="AE25" s="88"/>
      <c r="AF25" s="88"/>
      <c r="AG25" s="88"/>
      <c r="AH25" s="88"/>
      <c r="AI25" s="88"/>
      <c r="AJ25" s="88"/>
    </row>
    <row r="26" spans="1:36" customFormat="1" x14ac:dyDescent="0.25">
      <c r="A26" s="88"/>
      <c r="B26" s="88"/>
      <c r="C26" s="92"/>
      <c r="D26" s="90"/>
      <c r="E26" s="60">
        <f t="shared" si="0"/>
        <v>133.92619750339566</v>
      </c>
      <c r="F26" s="60">
        <f>+MAX($C$1*(E26-$C$3),0)</f>
        <v>38.926197503395656</v>
      </c>
      <c r="G26" s="95"/>
      <c r="H26" s="95">
        <f>+EXP(-$C$9*$C$6)*($C$17*G25+$C$20*G27)</f>
        <v>39.242336978215917</v>
      </c>
      <c r="I26" s="95"/>
      <c r="J26" s="95">
        <f>+EXP(-$C$9*$C$6)*($C$17*I25+$C$20*I27)</f>
        <v>39.557424409167339</v>
      </c>
      <c r="K26" s="95"/>
      <c r="L26" s="95">
        <v>55.983099919507765</v>
      </c>
      <c r="M26" s="95"/>
      <c r="N26" s="95">
        <f>+EXP(-$C$9*$C$6)*($C$17*M25+$C$20*M27)</f>
        <v>56.725881397374529</v>
      </c>
      <c r="O26" s="95"/>
      <c r="P26" s="95">
        <f>+EXP(-$C$9*$C$6)*($C$17*O25+$C$20*O27)</f>
        <v>57.477422654447651</v>
      </c>
      <c r="Q26" s="95"/>
      <c r="R26" s="95">
        <f>+EXP(-$C$9*$C$6)*($C$17*Q25+$C$20*Q27)</f>
        <v>58.240913694297852</v>
      </c>
      <c r="S26" s="95"/>
      <c r="T26" s="95">
        <f>+EXP(-$C$9*$C$6)*($C$17*S25+$C$20*S27)</f>
        <v>59.016347882870704</v>
      </c>
      <c r="U26" s="95"/>
      <c r="V26" s="95">
        <f>+EXP(-$C$9*$C$6)*($C$17*U25+$C$20*U27)</f>
        <v>59.80241382480024</v>
      </c>
      <c r="W26" s="95"/>
      <c r="X26" s="95">
        <f>+EXP(-$C$9*$C$6)*($C$17*W25+$C$20*W27)</f>
        <v>60.597419511824299</v>
      </c>
      <c r="Y26" s="95"/>
      <c r="Z26" s="96">
        <f>+EXP(-$C$9*$C$6)*($C$17*Y25+$C$20*Y27)</f>
        <v>61.22079542605529</v>
      </c>
      <c r="AA26" s="95"/>
      <c r="AB26" s="95">
        <f>+EXP(-$C$9*$C$6)*($C$17*AA25+$C$20*AA27)</f>
        <v>61.937561402079446</v>
      </c>
      <c r="AC26" s="88"/>
      <c r="AD26" s="88"/>
      <c r="AE26" s="88"/>
      <c r="AF26" s="88"/>
      <c r="AG26" s="88"/>
      <c r="AH26" s="88"/>
      <c r="AI26" s="88"/>
      <c r="AJ26" s="88"/>
    </row>
    <row r="27" spans="1:36" customFormat="1" x14ac:dyDescent="0.25">
      <c r="A27" s="88"/>
      <c r="B27" s="88"/>
      <c r="C27" s="92"/>
      <c r="D27" s="90"/>
      <c r="E27" s="60"/>
      <c r="F27" s="60"/>
      <c r="G27" s="95">
        <f>+EXP(-$C$9*$C$6)*($C$17*F26+$C$20*F28)</f>
        <v>34.282312919597693</v>
      </c>
      <c r="H27" s="95"/>
      <c r="I27" s="95">
        <f>+EXP(-$C$9*$C$6)*($C$17*H26+$C$20*H28)</f>
        <v>34.597925934132029</v>
      </c>
      <c r="J27" s="95"/>
      <c r="K27" s="95">
        <f>+EXP(-$C$9*$C$6)*($C$17*J26+$C$20*J28)</f>
        <v>34.912488656743605</v>
      </c>
      <c r="L27" s="95"/>
      <c r="M27" s="95">
        <f>+EXP(-$C$9*$C$6)*($C$17*L26+$C$20*L28)</f>
        <v>48.082731157316978</v>
      </c>
      <c r="N27" s="95"/>
      <c r="O27" s="95">
        <f>+EXP(-$C$9*$C$6)*($C$17*N26+$C$20*N28)</f>
        <v>48.821487508311556</v>
      </c>
      <c r="P27" s="95"/>
      <c r="Q27" s="97">
        <f>+EXP(-$C$9*$C$6)*($C$17*P26+$C$20*P28)</f>
        <v>49.580293363541315</v>
      </c>
      <c r="R27" s="95"/>
      <c r="S27" s="95">
        <f>+EXP(-$C$9*$C$6)*($C$17*R26+$C$20*R28)</f>
        <v>50.356377505082776</v>
      </c>
      <c r="T27" s="95"/>
      <c r="U27" s="95">
        <f>+EXP(-$C$9*$C$6)*($C$17*T26+$C$20*T28)</f>
        <v>51.146075248878077</v>
      </c>
      <c r="V27" s="95"/>
      <c r="W27" s="95">
        <f>+EXP(-$C$9*$C$6)*($C$17*V26+$C$20*V28)</f>
        <v>51.946022986613492</v>
      </c>
      <c r="X27" s="95"/>
      <c r="Y27" s="95">
        <f>+EXP(-$C$9*$C$6)*($C$17*X26+$C$20*X28)</f>
        <v>52.753437375756683</v>
      </c>
      <c r="Z27" s="95"/>
      <c r="AA27" s="95">
        <f>+EXP(-$C$9*$C$6)*($C$17*Z26+$C$20*Z28)</f>
        <v>53.474359351476046</v>
      </c>
      <c r="AB27" s="95"/>
      <c r="AC27" s="95">
        <f>+EXP(-$C$9*$C$6)*($C$17*AB26+$C$20*AB28)</f>
        <v>54.220905519661386</v>
      </c>
      <c r="AD27" s="88"/>
      <c r="AE27" s="88"/>
      <c r="AF27" s="88"/>
      <c r="AG27" s="88"/>
      <c r="AH27" s="88"/>
      <c r="AI27" s="88"/>
      <c r="AJ27" s="88"/>
    </row>
    <row r="28" spans="1:36" customFormat="1" x14ac:dyDescent="0.25">
      <c r="A28" s="88"/>
      <c r="B28" s="88"/>
      <c r="C28" s="92"/>
      <c r="D28" s="90"/>
      <c r="E28" s="60">
        <f t="shared" si="0"/>
        <v>124.49421002376957</v>
      </c>
      <c r="F28" s="60">
        <f>+MAX($C$1*(E28-$C$3),0)</f>
        <v>29.494210023769568</v>
      </c>
      <c r="G28" s="95"/>
      <c r="H28" s="95">
        <f>+EXP(-$C$9*$C$6)*($C$17*G27+$C$20*G29)</f>
        <v>29.810349498589829</v>
      </c>
      <c r="I28" s="95"/>
      <c r="J28" s="95">
        <f>+EXP(-$C$9*$C$6)*($C$17*I27+$C$20*I29)</f>
        <v>30.125436929541255</v>
      </c>
      <c r="K28" s="95"/>
      <c r="L28" s="95">
        <v>39.901888279575388</v>
      </c>
      <c r="M28" s="95"/>
      <c r="N28" s="95">
        <f>+EXP(-$C$9*$C$6)*($C$17*M27+$C$20*M29)</f>
        <v>40.638926623996618</v>
      </c>
      <c r="O28" s="95"/>
      <c r="P28" s="95">
        <f>+EXP(-$C$9*$C$6)*($C$17*O27+$C$20*O29)</f>
        <v>41.408009460252394</v>
      </c>
      <c r="Q28" s="95"/>
      <c r="R28" s="95">
        <f>+EXP(-$C$9*$C$6)*($C$17*Q27+$C$20*Q29)</f>
        <v>42.200058762760577</v>
      </c>
      <c r="S28" s="95"/>
      <c r="T28" s="95">
        <f>+EXP(-$C$9*$C$6)*($C$17*S27+$C$20*S29)</f>
        <v>43.007532994274712</v>
      </c>
      <c r="U28" s="95"/>
      <c r="V28" s="95">
        <f>+EXP(-$C$9*$C$6)*($C$17*U27+$C$20*U29)</f>
        <v>43.824889096619799</v>
      </c>
      <c r="W28" s="95"/>
      <c r="X28" s="95">
        <f>+EXP(-$C$9*$C$6)*($C$17*W27+$C$20*W29)</f>
        <v>44.648181318691591</v>
      </c>
      <c r="Y28" s="95"/>
      <c r="Z28" s="96">
        <f>+EXP(-$C$9*$C$6)*($C$17*Y27+$C$20*Y29)</f>
        <v>45.474621660106187</v>
      </c>
      <c r="AA28" s="95"/>
      <c r="AB28" s="95">
        <f>+EXP(-$C$9*$C$6)*($C$17*AA27+$C$20*AA29)</f>
        <v>46.255187730012878</v>
      </c>
      <c r="AC28" s="95"/>
      <c r="AD28" s="95">
        <f>+EXP(-$C$9*$C$6)*($C$17*AC27+$C$20*AC29)</f>
        <v>47.035156782582064</v>
      </c>
      <c r="AE28" s="88"/>
      <c r="AF28" s="88"/>
      <c r="AG28" s="88"/>
      <c r="AH28" s="88"/>
      <c r="AI28" s="88"/>
      <c r="AJ28" s="88"/>
    </row>
    <row r="29" spans="1:36" customFormat="1" x14ac:dyDescent="0.25">
      <c r="A29" s="88"/>
      <c r="B29" s="18"/>
      <c r="C29" s="18"/>
      <c r="D29" s="90"/>
      <c r="E29" s="60"/>
      <c r="F29" s="60"/>
      <c r="G29" s="95">
        <f>+EXP(-$C$9*$C$6)*($C$17*F28+$C$20*F30)</f>
        <v>25.188520776701171</v>
      </c>
      <c r="H29" s="95"/>
      <c r="I29" s="95">
        <f>+EXP(-$C$9*$C$6)*($C$17*H28+$C$20*H30)</f>
        <v>25.504133791235503</v>
      </c>
      <c r="J29" s="95"/>
      <c r="K29" s="95">
        <f>+EXP(-$C$9*$C$6)*($C$17*J28+$C$20*J30)</f>
        <v>25.818696513847087</v>
      </c>
      <c r="L29" s="95"/>
      <c r="M29" s="95">
        <f>+EXP(-$C$9*$C$6)*($C$17*L28+$C$20*L30)</f>
        <v>32.9148546590881</v>
      </c>
      <c r="N29" s="95"/>
      <c r="O29" s="95">
        <f>+EXP(-$C$9*$C$6)*($C$17*N28+$C$20*N30)</f>
        <v>33.718611793201426</v>
      </c>
      <c r="P29" s="95"/>
      <c r="Q29" s="97">
        <f>+EXP(-$C$9*$C$6)*($C$17*P28+$C$20*P30)</f>
        <v>34.548495585955671</v>
      </c>
      <c r="R29" s="95"/>
      <c r="S29" s="95">
        <f>+EXP(-$C$9*$C$6)*($C$17*R28+$C$20*R30)</f>
        <v>35.391899372113002</v>
      </c>
      <c r="T29" s="95"/>
      <c r="U29" s="95">
        <f>+EXP(-$C$9*$C$6)*($C$17*T28+$C$20*T30)</f>
        <v>36.241276807267226</v>
      </c>
      <c r="V29" s="95"/>
      <c r="W29" s="95">
        <f>+EXP(-$C$9*$C$6)*($C$17*V28+$C$20*V30)</f>
        <v>37.092053643068972</v>
      </c>
      <c r="X29" s="95"/>
      <c r="Y29" s="95">
        <f>+EXP(-$C$9*$C$6)*($C$17*X28+$C$20*X30)</f>
        <v>37.941427395412838</v>
      </c>
      <c r="Z29" s="95"/>
      <c r="AA29" s="95">
        <f>+EXP(-$C$9*$C$6)*($C$17*Z28+$C$20*Z30)</f>
        <v>38.787677623198654</v>
      </c>
      <c r="AB29" s="95"/>
      <c r="AC29" s="95">
        <f>+EXP(-$C$9*$C$6)*($C$17*AB28+$C$20*AB30)</f>
        <v>39.605629282268417</v>
      </c>
      <c r="AD29" s="95"/>
      <c r="AE29" s="95">
        <f>+EXP(-$C$9*$C$6)*($C$17*AD28+$C$20*AD30)</f>
        <v>40.412596569847963</v>
      </c>
      <c r="AF29" s="88"/>
      <c r="AG29" s="88"/>
      <c r="AH29" s="88"/>
      <c r="AI29" s="88"/>
      <c r="AJ29" s="88"/>
    </row>
    <row r="30" spans="1:36" customFormat="1" x14ac:dyDescent="0.25">
      <c r="A30" s="88"/>
      <c r="B30" s="88"/>
      <c r="C30" s="88"/>
      <c r="D30" s="90"/>
      <c r="E30" s="60">
        <f t="shared" si="0"/>
        <v>115.72648681412373</v>
      </c>
      <c r="F30" s="60">
        <f>+MAX($C$1*(E30-$C$3),0)</f>
        <v>20.726486814123732</v>
      </c>
      <c r="G30" s="95"/>
      <c r="H30" s="95">
        <f>+EXP(-$C$9*$C$6)*($C$17*G29+$C$20*G31)</f>
        <v>21.042626288943996</v>
      </c>
      <c r="I30" s="95"/>
      <c r="J30" s="95">
        <f>+EXP(-$C$9*$C$6)*($C$17*I29+$C$20*I31)</f>
        <v>21.357713719895422</v>
      </c>
      <c r="K30" s="95"/>
      <c r="L30" s="95">
        <v>25.6468105829147</v>
      </c>
      <c r="M30" s="95"/>
      <c r="N30" s="95">
        <f>+EXP(-$C$9*$C$6)*($C$17*M29+$C$20*M31)</f>
        <v>26.523804974991048</v>
      </c>
      <c r="O30" s="95"/>
      <c r="P30" s="95">
        <f>+EXP(-$C$9*$C$6)*($C$17*O29+$C$20*O31)</f>
        <v>27.420764176652622</v>
      </c>
      <c r="Q30" s="95"/>
      <c r="R30" s="95">
        <f>+EXP(-$C$9*$C$6)*($C$17*Q29+$C$20*Q31)</f>
        <v>28.321310703317184</v>
      </c>
      <c r="S30" s="95"/>
      <c r="T30" s="95">
        <f>+EXP(-$C$9*$C$6)*($C$17*S29+$C$20*S31)</f>
        <v>29.217867247278551</v>
      </c>
      <c r="U30" s="95"/>
      <c r="V30" s="95">
        <f>+EXP(-$C$9*$C$6)*($C$17*U29+$C$20*U31)</f>
        <v>30.106867298988295</v>
      </c>
      <c r="W30" s="95"/>
      <c r="X30" s="95">
        <f>+EXP(-$C$9*$C$6)*($C$17*W29+$C$20*W31)</f>
        <v>30.986706483248277</v>
      </c>
      <c r="Y30" s="95"/>
      <c r="Z30" s="96">
        <f>+EXP(-$C$9*$C$6)*($C$17*Y29+$C$20*Y31)</f>
        <v>31.856786203491332</v>
      </c>
      <c r="AA30" s="95"/>
      <c r="AB30" s="95">
        <f>+EXP(-$C$9*$C$6)*($C$17*AA29+$C$20*AA31)</f>
        <v>32.717036868545364</v>
      </c>
      <c r="AC30" s="95"/>
      <c r="AD30" s="95">
        <f>+EXP(-$C$9*$C$6)*($C$17*AC29+$C$20*AC31)</f>
        <v>33.555292513857736</v>
      </c>
      <c r="AE30" s="95"/>
      <c r="AF30" s="95">
        <f>+EXP(-$C$9*$C$6)*($C$17*AE29+$C$20*AE31)</f>
        <v>34.378019061530665</v>
      </c>
      <c r="AG30" s="88"/>
      <c r="AH30" s="88"/>
      <c r="AI30" s="88"/>
      <c r="AJ30" s="88"/>
    </row>
    <row r="31" spans="1:36" customFormat="1" x14ac:dyDescent="0.25">
      <c r="A31" s="88"/>
      <c r="B31" s="88"/>
      <c r="C31" s="88"/>
      <c r="D31" s="90"/>
      <c r="E31" s="60"/>
      <c r="F31" s="60"/>
      <c r="G31" s="95">
        <f>+EXP(-$C$9*$C$6)*($C$17*F30+$C$20*F32)</f>
        <v>16.735174903713467</v>
      </c>
      <c r="H31" s="95"/>
      <c r="I31" s="95">
        <f>+EXP(-$C$9*$C$6)*($C$17*H30+$C$20*H32)</f>
        <v>17.050787918247806</v>
      </c>
      <c r="J31" s="95"/>
      <c r="K31" s="95">
        <f>+EXP(-$C$9*$C$6)*($C$17*J30+$C$20*J32)</f>
        <v>17.42043974868437</v>
      </c>
      <c r="L31" s="95"/>
      <c r="M31" s="95">
        <f>+EXP(-$C$9*$C$6)*($C$17*L30+$C$20*L32)</f>
        <v>19.863422804616579</v>
      </c>
      <c r="N31" s="95"/>
      <c r="O31" s="95">
        <f>+EXP(-$C$9*$C$6)*($C$17*N30+$C$20*N32)</f>
        <v>20.861915308069666</v>
      </c>
      <c r="P31" s="95"/>
      <c r="Q31" s="97">
        <f>+EXP(-$C$9*$C$6)*($C$17*P30+$C$20*P32)</f>
        <v>21.840197390271992</v>
      </c>
      <c r="R31" s="95"/>
      <c r="S31" s="95">
        <f>+EXP(-$C$9*$C$6)*($C$17*R30+$C$20*R32)</f>
        <v>22.795978653751597</v>
      </c>
      <c r="T31" s="95"/>
      <c r="U31" s="95">
        <f>+EXP(-$C$9*$C$6)*($C$17*T30+$C$20*T32)</f>
        <v>23.729884564412565</v>
      </c>
      <c r="V31" s="95"/>
      <c r="W31" s="95">
        <f>+EXP(-$C$9*$C$6)*($C$17*V30+$C$20*V32)</f>
        <v>24.643442551822318</v>
      </c>
      <c r="X31" s="95"/>
      <c r="Y31" s="95">
        <f>+EXP(-$C$9*$C$6)*($C$17*X30+$C$20*X32)</f>
        <v>25.53838010397007</v>
      </c>
      <c r="Z31" s="95"/>
      <c r="AA31" s="95">
        <f>+EXP(-$C$9*$C$6)*($C$17*Z30+$C$20*Z32)</f>
        <v>26.416371312164724</v>
      </c>
      <c r="AB31" s="95"/>
      <c r="AC31" s="95">
        <f>+EXP(-$C$9*$C$6)*($C$17*AB30+$C$20*AB32)</f>
        <v>27.278950983412923</v>
      </c>
      <c r="AD31" s="95"/>
      <c r="AE31" s="95">
        <f>+EXP(-$C$9*$C$6)*($C$17*AD30+$C$20*AD32)</f>
        <v>28.12114734208534</v>
      </c>
      <c r="AF31" s="95"/>
      <c r="AG31" s="95">
        <f>+EXP(-$C$9*$C$6)*($C$17*AF30+$C$20*AF32)</f>
        <v>28.945735486794597</v>
      </c>
      <c r="AH31" s="88"/>
      <c r="AI31" s="88"/>
      <c r="AJ31" s="88"/>
    </row>
    <row r="32" spans="1:36" customFormat="1" x14ac:dyDescent="0.25">
      <c r="A32" s="88"/>
      <c r="B32" s="88"/>
      <c r="C32" s="88"/>
      <c r="D32" s="90"/>
      <c r="E32" s="60">
        <f t="shared" si="0"/>
        <v>107.57624589756031</v>
      </c>
      <c r="F32" s="60">
        <f>+MAX($C$1*(E32-$C$3),0)</f>
        <v>12.576245897560312</v>
      </c>
      <c r="G32" s="95"/>
      <c r="H32" s="95">
        <f>+EXP(-$C$9*$C$6)*($C$17*G31+$C$20*G33)</f>
        <v>12.892385372380581</v>
      </c>
      <c r="I32" s="95"/>
      <c r="J32" s="95">
        <f>+EXP(-$C$9*$C$6)*($C$17*I31+$C$20*I33)</f>
        <v>13.320945784949318</v>
      </c>
      <c r="K32" s="95"/>
      <c r="L32" s="95">
        <v>13.822115035593178</v>
      </c>
      <c r="M32" s="95"/>
      <c r="N32" s="95">
        <f>+EXP(-$C$9*$C$6)*($C$17*M31+$C$20*M33)</f>
        <v>14.952380427784078</v>
      </c>
      <c r="O32" s="95"/>
      <c r="P32" s="95">
        <f>+EXP(-$C$9*$C$6)*($C$17*O31+$C$20*O33)</f>
        <v>16.019925852528118</v>
      </c>
      <c r="Q32" s="95"/>
      <c r="R32" s="95">
        <f>+EXP(-$C$9*$C$6)*($C$17*Q31+$C$20*Q33)</f>
        <v>17.037334341807885</v>
      </c>
      <c r="S32" s="95"/>
      <c r="T32" s="95">
        <f>+EXP(-$C$9*$C$6)*($C$17*S31+$C$20*S33)</f>
        <v>18.013898734784426</v>
      </c>
      <c r="U32" s="95"/>
      <c r="V32" s="95">
        <f>+EXP(-$C$9*$C$6)*($C$17*U31+$C$20*U33)</f>
        <v>18.956532824460943</v>
      </c>
      <c r="W32" s="95"/>
      <c r="X32" s="95">
        <f>+EXP(-$C$9*$C$6)*($C$17*W31+$C$20*W33)</f>
        <v>19.870489730628304</v>
      </c>
      <c r="Y32" s="95"/>
      <c r="Z32" s="96">
        <f>+EXP(-$C$9*$C$6)*($C$17*Y31+$C$20*Y33)</f>
        <v>20.759850103969583</v>
      </c>
      <c r="AA32" s="95"/>
      <c r="AB32" s="95">
        <f>+EXP(-$C$9*$C$6)*($C$17*AA31+$C$20*AA33)</f>
        <v>21.627848866709183</v>
      </c>
      <c r="AC32" s="95"/>
      <c r="AD32" s="95">
        <f>+EXP(-$C$9*$C$6)*($C$17*AC31+$C$20*AC33)</f>
        <v>22.477096970617374</v>
      </c>
      <c r="AE32" s="95"/>
      <c r="AF32" s="95">
        <f>+EXP(-$C$9*$C$6)*($C$17*AE31+$C$20*AE33)</f>
        <v>23.306480129381679</v>
      </c>
      <c r="AG32" s="95"/>
      <c r="AH32" s="95">
        <f>+EXP(-$C$9*$C$6)*($C$17*AG31+$C$20*AG33)</f>
        <v>24.117764696901538</v>
      </c>
      <c r="AI32" s="88"/>
      <c r="AJ32" s="88"/>
    </row>
    <row r="33" spans="1:36" customFormat="1" ht="15.75" thickBot="1" x14ac:dyDescent="0.3">
      <c r="A33" s="88"/>
      <c r="B33" s="88"/>
      <c r="C33" s="88"/>
      <c r="D33" s="90"/>
      <c r="E33" s="60"/>
      <c r="F33" s="60"/>
      <c r="G33" s="95">
        <f>+EXP(-$C$9*$C$6)*($C$17*F32+$C$20*F34)</f>
        <v>8.8771707481888296</v>
      </c>
      <c r="H33" s="95"/>
      <c r="I33" s="95">
        <f>+EXP(-$C$9*$C$6)*($C$17*H32+$C$20*H34)</f>
        <v>9.4265163110525023</v>
      </c>
      <c r="J33" s="95"/>
      <c r="K33" s="95">
        <f>+EXP(-$C$9*$C$6)*($C$17*J32+$C$20*J34)</f>
        <v>10.029968244880859</v>
      </c>
      <c r="L33" s="95"/>
      <c r="M33" s="95">
        <f>+EXP(-$C$9*$C$6)*($C$17*L32+$C$20*L34)</f>
        <v>9.8157533296846591</v>
      </c>
      <c r="N33" s="95"/>
      <c r="O33" s="95">
        <f>+EXP(-$C$9*$C$6)*($C$17*N32+$C$20*N34)</f>
        <v>10.959906571612354</v>
      </c>
      <c r="P33" s="95"/>
      <c r="Q33" s="97">
        <f>+EXP(-$C$9*$C$6)*($C$17*P32+$C$20*P34)</f>
        <v>12.022137195886833</v>
      </c>
      <c r="R33" s="95"/>
      <c r="S33" s="95">
        <f>+EXP(-$C$9*$C$6)*($C$17*R32+$C$20*R34)</f>
        <v>13.0240061913892</v>
      </c>
      <c r="T33" s="95"/>
      <c r="U33" s="95">
        <f>+EXP(-$C$9*$C$6)*($C$17*T32+$C$20*T34)</f>
        <v>13.979093915545915</v>
      </c>
      <c r="V33" s="95"/>
      <c r="W33" s="95">
        <f>+EXP(-$C$9*$C$6)*($C$17*V32+$C$20*V34)</f>
        <v>14.896607243541276</v>
      </c>
      <c r="X33" s="95"/>
      <c r="Y33" s="95">
        <f>+EXP(-$C$9*$C$6)*($C$17*X32+$C$20*X34)</f>
        <v>15.783126652111452</v>
      </c>
      <c r="Z33" s="95"/>
      <c r="AA33" s="95">
        <f>+EXP(-$C$9*$C$6)*($C$17*Z32+$C$20*Z34)</f>
        <v>16.643546986866561</v>
      </c>
      <c r="AB33" s="95"/>
      <c r="AC33" s="95">
        <f>+EXP(-$C$9*$C$6)*($C$17*AB32+$C$20*AB34)</f>
        <v>17.481624970964582</v>
      </c>
      <c r="AD33" s="95"/>
      <c r="AE33" s="95">
        <f>+EXP(-$C$9*$C$6)*($C$17*AD32+$C$20*AD34)</f>
        <v>18.300317461937386</v>
      </c>
      <c r="AF33" s="95"/>
      <c r="AG33" s="95">
        <f>+EXP(-$C$9*$C$6)*($C$17*AF32+$C$20*AF34)</f>
        <v>19.100331257045106</v>
      </c>
      <c r="AH33" s="95"/>
      <c r="AI33" s="95">
        <f>+EXP(-$C$9*$C$6)*($C$17*AH32+$C$20*AH34)</f>
        <v>19.883186994918695</v>
      </c>
      <c r="AJ33" s="88"/>
    </row>
    <row r="34" spans="1:36" customFormat="1" ht="15.75" thickBot="1" x14ac:dyDescent="0.3">
      <c r="A34" s="88"/>
      <c r="B34" s="88"/>
      <c r="C34" s="88"/>
      <c r="D34" s="90"/>
      <c r="E34" s="60">
        <f t="shared" si="0"/>
        <v>99.999999999999915</v>
      </c>
      <c r="F34" s="60">
        <f>+MAX($C$1*(E34-$C$3),0)</f>
        <v>4.9999999999999147</v>
      </c>
      <c r="G34" s="98">
        <f>+EXP(-$C$9*$C$6)*($C$17*F33+$C$20*F35)</f>
        <v>0</v>
      </c>
      <c r="H34" s="98">
        <f>+EXP(-$C$9*$C$6)*($C$17*G33+$C$20*G35)</f>
        <v>5.7975836333315991</v>
      </c>
      <c r="I34" s="98"/>
      <c r="J34" s="98">
        <f>+EXP(-$C$9*$C$6)*($C$17*I33+$C$20*I35)</f>
        <v>6.587857017952599</v>
      </c>
      <c r="K34" s="98"/>
      <c r="L34" s="98">
        <v>5.617191372490109</v>
      </c>
      <c r="M34" s="98"/>
      <c r="N34" s="98">
        <f>+EXP(-$C$9*$C$6)*($C$17*M33+$C$20*M35)</f>
        <v>6.7799400521440081</v>
      </c>
      <c r="O34" s="98"/>
      <c r="P34" s="98">
        <f>+EXP(-$C$9*$C$6)*($C$17*O33+$C$20*O35)</f>
        <v>7.840199853872015</v>
      </c>
      <c r="Q34" s="98"/>
      <c r="R34" s="98">
        <f>+EXP(-$C$9*$C$6)*($C$17*Q33+$C$20*Q35)</f>
        <v>8.8290898382840695</v>
      </c>
      <c r="S34" s="98"/>
      <c r="T34" s="98">
        <f>+EXP(-$C$9*$C$6)*($C$17*S33+$C$20*S35)</f>
        <v>9.7647661845695435</v>
      </c>
      <c r="U34" s="98"/>
      <c r="V34" s="98">
        <f>+EXP(-$C$9*$C$6)*($C$17*U33+$C$20*U35)</f>
        <v>10.658889709986219</v>
      </c>
      <c r="W34" s="98"/>
      <c r="X34" s="98">
        <f>+EXP(-$C$9*$C$6)*($C$17*W33+$C$20*W35)</f>
        <v>11.519465653707723</v>
      </c>
      <c r="Y34" s="98"/>
      <c r="Z34" s="98">
        <f>+EXP(-$C$9*$C$6)*($C$17*Y33+$C$20*Y35)</f>
        <v>12.352265748851405</v>
      </c>
      <c r="AA34" s="98"/>
      <c r="AB34" s="98">
        <f>+EXP(-$C$9*$C$6)*($C$17*AA33+$C$20*AA35)</f>
        <v>13.161610823628267</v>
      </c>
      <c r="AC34" s="98"/>
      <c r="AD34" s="98">
        <f>+EXP(-$C$9*$C$6)*($C$17*AC33+$C$20*AC35)</f>
        <v>13.950833285208825</v>
      </c>
      <c r="AE34" s="98"/>
      <c r="AF34" s="98">
        <f>+EXP(-$C$9*$C$6)*($C$17*AE33+$C$20*AE35)</f>
        <v>14.722566107506353</v>
      </c>
      <c r="AG34" s="98"/>
      <c r="AH34" s="98">
        <f>+EXP(-$C$9*$C$6)*($C$17*AG33+$C$20*AG35)</f>
        <v>15.478075577025525</v>
      </c>
      <c r="AI34" s="98"/>
      <c r="AJ34" s="99">
        <f>+EXP(-$C$9*$C$6)*($C$17*AI33+$C$20*AI35)</f>
        <v>16.21867185964522</v>
      </c>
    </row>
    <row r="35" spans="1:36" customFormat="1" x14ac:dyDescent="0.25">
      <c r="A35" s="88"/>
      <c r="B35" s="88"/>
      <c r="C35" s="88"/>
      <c r="D35" s="90"/>
      <c r="E35" s="60"/>
      <c r="F35" s="60"/>
      <c r="G35" s="95">
        <f>+EXP(-$C$9*$C$6)*($C$17*F34+$C$20*F36)</f>
        <v>2.5642628245377499</v>
      </c>
      <c r="H35" s="95"/>
      <c r="I35" s="95">
        <f>+EXP(-$C$9*$C$6)*($C$17*H34+$C$20*H36)</f>
        <v>3.6117577671048893</v>
      </c>
      <c r="J35" s="95"/>
      <c r="K35" s="95">
        <f>+EXP(-$C$9*$C$6)*($C$17*J34+$C$20*J36)</f>
        <v>4.4368198984650933</v>
      </c>
      <c r="L35" s="95"/>
      <c r="M35" s="95">
        <f>+EXP(-$C$9*$C$6)*($C$17*L34+$C$20*L36)</f>
        <v>3.5962305864053246</v>
      </c>
      <c r="N35" s="95"/>
      <c r="O35" s="95">
        <f>+EXP(-$C$9*$C$6)*($C$17*N34+$C$20*N36)</f>
        <v>4.5715040760207586</v>
      </c>
      <c r="P35" s="95"/>
      <c r="Q35" s="97">
        <f>+EXP(-$C$9*$C$6)*($C$17*P34+$C$20*P36)</f>
        <v>5.4863106826974528</v>
      </c>
      <c r="R35" s="95"/>
      <c r="S35" s="95">
        <f>+EXP(-$C$9*$C$6)*($C$17*R34+$C$20*R36)</f>
        <v>6.3552720987964362</v>
      </c>
      <c r="T35" s="95"/>
      <c r="U35" s="95">
        <f>+EXP(-$C$9*$C$6)*($C$17*T34+$C$20*T36)</f>
        <v>7.1880613803836697</v>
      </c>
      <c r="V35" s="95"/>
      <c r="W35" s="95">
        <f>+EXP(-$C$9*$C$6)*($C$17*V34+$C$20*V36)</f>
        <v>7.9914418442491044</v>
      </c>
      <c r="X35" s="95"/>
      <c r="Y35" s="95">
        <f>+EXP(-$C$9*$C$6)*($C$17*X34+$C$20*X36)</f>
        <v>8.7703506826511752</v>
      </c>
      <c r="Z35" s="95"/>
      <c r="AA35" s="95">
        <f>+EXP(-$C$9*$C$6)*($C$17*Z34+$C$20*Z36)</f>
        <v>9.5285171656786378</v>
      </c>
      <c r="AB35" s="95"/>
      <c r="AC35" s="95">
        <f>+EXP(-$C$9*$C$6)*($C$17*AB34+$C$20*AB36)</f>
        <v>10.268836893188988</v>
      </c>
      <c r="AD35" s="95"/>
      <c r="AE35" s="95">
        <f>+EXP(-$C$9*$C$6)*($C$17*AD34+$C$20*AD36)</f>
        <v>10.993609727142001</v>
      </c>
      <c r="AF35" s="95"/>
      <c r="AG35" s="95">
        <f>+EXP(-$C$9*$C$6)*($C$17*AF34+$C$20*AF36)</f>
        <v>11.704697329608603</v>
      </c>
      <c r="AH35" s="95"/>
      <c r="AI35" s="95">
        <f>+EXP(-$C$9*$C$6)*($C$17*AH34+$C$20*AH36)</f>
        <v>12.403192021798851</v>
      </c>
      <c r="AJ35" s="88"/>
    </row>
    <row r="36" spans="1:36" customFormat="1" x14ac:dyDescent="0.25">
      <c r="A36" s="88"/>
      <c r="B36" s="88"/>
      <c r="C36" s="88"/>
      <c r="D36" s="90"/>
      <c r="E36" s="60">
        <f t="shared" si="0"/>
        <v>92.957324514953811</v>
      </c>
      <c r="F36" s="60">
        <f>+MAX($C$1*(E36-$C$3),0)</f>
        <v>0</v>
      </c>
      <c r="G36" s="95"/>
      <c r="H36" s="95">
        <f>+EXP(-$C$9*$C$6)*($C$17*G35+$C$20*G37)</f>
        <v>1.3150887666612865</v>
      </c>
      <c r="I36" s="95"/>
      <c r="J36" s="95">
        <f>+EXP(-$C$9*$C$6)*($C$17*I35+$C$20*I37)</f>
        <v>2.179731047374311</v>
      </c>
      <c r="K36" s="95"/>
      <c r="L36" s="95">
        <v>1.4736681334306345</v>
      </c>
      <c r="M36" s="95"/>
      <c r="N36" s="95">
        <f>+EXP(-$C$9*$C$6)*($C$17*M35+$C$20*M37)</f>
        <v>2.2542423353955492</v>
      </c>
      <c r="O36" s="95"/>
      <c r="P36" s="95">
        <f>+EXP(-$C$9*$C$6)*($C$17*O35+$C$20*O37)</f>
        <v>3.0185333456645345</v>
      </c>
      <c r="Q36" s="95"/>
      <c r="R36" s="95">
        <f>+EXP(-$C$9*$C$6)*($C$17*Q35+$C$20*Q37)</f>
        <v>3.7637855579351567</v>
      </c>
      <c r="S36" s="95"/>
      <c r="T36" s="95">
        <f>+EXP(-$C$9*$C$6)*($C$17*S35+$C$20*S37)</f>
        <v>4.4907438255349668</v>
      </c>
      <c r="U36" s="95"/>
      <c r="V36" s="95">
        <f>+EXP(-$C$9*$C$6)*($C$17*U35+$C$20*U37)</f>
        <v>5.2010210537784562</v>
      </c>
      <c r="W36" s="95"/>
      <c r="X36" s="95">
        <f>+EXP(-$C$9*$C$6)*($C$17*W35+$C$20*W37)</f>
        <v>5.8963303536509244</v>
      </c>
      <c r="Y36" s="95"/>
      <c r="Z36" s="96">
        <f>+EXP(-$C$9*$C$6)*($C$17*Y35+$C$20*Y37)</f>
        <v>6.578256174642835</v>
      </c>
      <c r="AA36" s="95"/>
      <c r="AB36" s="95">
        <f>+EXP(-$C$9*$C$6)*($C$17*AA35+$C$20*AA37)</f>
        <v>7.2481984693946586</v>
      </c>
      <c r="AC36" s="95"/>
      <c r="AD36" s="95">
        <f>+EXP(-$C$9*$C$6)*($C$17*AC35+$C$20*AC37)</f>
        <v>7.907374230924777</v>
      </c>
      <c r="AE36" s="95"/>
      <c r="AF36" s="95">
        <f>+EXP(-$C$9*$C$6)*($C$17*AE35+$C$20*AE37)</f>
        <v>8.5568367103965475</v>
      </c>
      <c r="AG36" s="95"/>
      <c r="AH36" s="95">
        <f>+EXP(-$C$9*$C$6)*($C$17*AG35+$C$20*AG37)</f>
        <v>9.1974982027774743</v>
      </c>
      <c r="AI36" s="95"/>
      <c r="AJ36" s="88"/>
    </row>
    <row r="37" spans="1:36" customFormat="1" x14ac:dyDescent="0.25">
      <c r="A37" s="88"/>
      <c r="B37" s="88"/>
      <c r="C37" s="88"/>
      <c r="D37" s="90"/>
      <c r="E37" s="60"/>
      <c r="F37" s="60"/>
      <c r="G37" s="95">
        <f>+EXP(-$C$9*$C$6)*($C$17*F36+$C$20*F38)</f>
        <v>0</v>
      </c>
      <c r="H37" s="95"/>
      <c r="I37" s="95">
        <f>+EXP(-$C$9*$C$6)*($C$17*H36+$C$20*H38)</f>
        <v>0.67444664706335877</v>
      </c>
      <c r="J37" s="95"/>
      <c r="K37" s="95">
        <f>+EXP(-$C$9*$C$6)*($C$17*J36+$C$20*J38)</f>
        <v>1.2858049034248353</v>
      </c>
      <c r="L37" s="95"/>
      <c r="M37" s="95">
        <f>+EXP(-$C$9*$C$6)*($C$17*L36+$C$20*L38)</f>
        <v>0.84432815837576081</v>
      </c>
      <c r="N37" s="95"/>
      <c r="O37" s="95">
        <f>+EXP(-$C$9*$C$6)*($C$17*N36+$C$20*N38)</f>
        <v>1.3883636004070152</v>
      </c>
      <c r="P37" s="95"/>
      <c r="Q37" s="97">
        <f>+EXP(-$C$9*$C$6)*($C$17*P36+$C$20*P38)</f>
        <v>1.9570586470135922</v>
      </c>
      <c r="R37" s="95"/>
      <c r="S37" s="95">
        <f>+EXP(-$C$9*$C$6)*($C$17*R36+$C$20*R38)</f>
        <v>2.5365015220116272</v>
      </c>
      <c r="T37" s="95"/>
      <c r="U37" s="95">
        <f>+EXP(-$C$9*$C$6)*($C$17*T36+$C$20*T38)</f>
        <v>3.1197960990362104</v>
      </c>
      <c r="V37" s="95"/>
      <c r="W37" s="95">
        <f>+EXP(-$C$9*$C$6)*($C$17*V36+$C$20*V38)</f>
        <v>3.7033264400882864</v>
      </c>
      <c r="X37" s="95"/>
      <c r="Y37" s="95">
        <f>+EXP(-$C$9*$C$6)*($C$17*X36+$C$20*X38)</f>
        <v>4.2851406665870559</v>
      </c>
      <c r="Z37" s="95"/>
      <c r="AA37" s="95">
        <f>+EXP(-$C$9*$C$6)*($C$17*Z36+$C$20*Z38)</f>
        <v>4.8641828940208613</v>
      </c>
      <c r="AB37" s="95"/>
      <c r="AC37" s="95">
        <f>+EXP(-$C$9*$C$6)*($C$17*AB36+$C$20*AB38)</f>
        <v>5.4399010469079006</v>
      </c>
      <c r="AD37" s="95"/>
      <c r="AE37" s="95">
        <f>+EXP(-$C$9*$C$6)*($C$17*AD36+$C$20*AD38)</f>
        <v>6.0120350972740306</v>
      </c>
      <c r="AF37" s="95"/>
      <c r="AG37" s="95">
        <f>+EXP(-$C$9*$C$6)*($C$17*AF36+$C$20*AF38)</f>
        <v>6.5804975790816478</v>
      </c>
      <c r="AH37" s="88"/>
      <c r="AI37" s="88"/>
      <c r="AJ37" s="88"/>
    </row>
    <row r="38" spans="1:36" customFormat="1" x14ac:dyDescent="0.25">
      <c r="A38" s="88"/>
      <c r="B38" s="88"/>
      <c r="C38" s="90"/>
      <c r="D38" s="90"/>
      <c r="E38" s="60">
        <f t="shared" si="0"/>
        <v>86.410641809784394</v>
      </c>
      <c r="F38" s="60">
        <f>+MAX($C$1*(E38-$C$3),0)</f>
        <v>0</v>
      </c>
      <c r="G38" s="95"/>
      <c r="H38" s="95">
        <f>+EXP(-$C$9*$C$6)*($C$17*G37+$C$20*G39)</f>
        <v>0</v>
      </c>
      <c r="I38" s="95"/>
      <c r="J38" s="95">
        <f>+EXP(-$C$9*$C$6)*($C$17*I37+$C$20*I39)</f>
        <v>0.34589169283974658</v>
      </c>
      <c r="K38" s="95"/>
      <c r="L38" s="95">
        <v>0.18240356546536149</v>
      </c>
      <c r="M38" s="95"/>
      <c r="N38" s="95">
        <f>+EXP(-$C$9*$C$6)*($C$17*M37+$C$20*M39)</f>
        <v>0.47843084168109556</v>
      </c>
      <c r="O38" s="95"/>
      <c r="P38" s="95">
        <f>+EXP(-$C$9*$C$6)*($C$17*O37+$C$20*O39)</f>
        <v>0.84245336912602942</v>
      </c>
      <c r="Q38" s="95"/>
      <c r="R38" s="95">
        <f>+EXP(-$C$9*$C$6)*($C$17*Q37+$C$20*Q39)</f>
        <v>1.2487265220599</v>
      </c>
      <c r="S38" s="95"/>
      <c r="T38" s="95">
        <f>+EXP(-$C$9*$C$6)*($C$17*S37+$C$20*S39)</f>
        <v>1.6822587581441699</v>
      </c>
      <c r="U38" s="95"/>
      <c r="V38" s="95">
        <f>+EXP(-$C$9*$C$6)*($C$17*U37+$C$20*U39)</f>
        <v>2.1338981022410088</v>
      </c>
      <c r="W38" s="95"/>
      <c r="X38" s="95">
        <f>+EXP(-$C$9*$C$6)*($C$17*W37+$C$20*W39)</f>
        <v>2.5978143669677647</v>
      </c>
      <c r="Y38" s="95"/>
      <c r="Z38" s="96">
        <f>+EXP(-$C$9*$C$6)*($C$17*Y37+$C$20*Y39)</f>
        <v>3.0701588557830237</v>
      </c>
      <c r="AA38" s="95"/>
      <c r="AB38" s="95">
        <f>+EXP(-$C$9*$C$6)*($C$17*AA37+$C$20*AA39)</f>
        <v>3.548315520358126</v>
      </c>
      <c r="AC38" s="95"/>
      <c r="AD38" s="95">
        <f>+EXP(-$C$9*$C$6)*($C$17*AC37+$C$20*AC39)</f>
        <v>4.0304631486193099</v>
      </c>
      <c r="AE38" s="95"/>
      <c r="AF38" s="95">
        <f>+EXP(-$C$9*$C$6)*($C$17*AE37+$C$20*AE39)</f>
        <v>4.515308946197587</v>
      </c>
      <c r="AG38" s="95"/>
      <c r="AH38" s="88"/>
      <c r="AI38" s="88"/>
      <c r="AJ38" s="88"/>
    </row>
    <row r="39" spans="1:36" customFormat="1" x14ac:dyDescent="0.25">
      <c r="A39" s="88"/>
      <c r="B39" s="88"/>
      <c r="C39" s="90"/>
      <c r="D39" s="90"/>
      <c r="E39" s="60"/>
      <c r="F39" s="60"/>
      <c r="G39" s="95">
        <f>+EXP(-$C$9*$C$6)*($C$17*F38+$C$20*F40)</f>
        <v>0</v>
      </c>
      <c r="H39" s="95"/>
      <c r="I39" s="95">
        <f>+EXP(-$C$9*$C$6)*($C$17*H38+$C$20*H40)</f>
        <v>0</v>
      </c>
      <c r="J39" s="95"/>
      <c r="K39" s="95">
        <f>+EXP(-$C$9*$C$6)*($C$17*J38+$C$20*J40)</f>
        <v>0.17739144185308151</v>
      </c>
      <c r="L39" s="95"/>
      <c r="M39" s="95">
        <f>+EXP(-$C$9*$C$6)*($C$17*L38+$C$20*L40)</f>
        <v>9.3546136397194446E-2</v>
      </c>
      <c r="N39" s="95"/>
      <c r="O39" s="95">
        <f>+EXP(-$C$9*$C$6)*($C$17*N38+$C$20*N40)</f>
        <v>0.26865567328290535</v>
      </c>
      <c r="P39" s="95"/>
      <c r="Q39" s="97">
        <f>+EXP(-$C$9*$C$6)*($C$17*P38+$C$20*P40)</f>
        <v>0.50474352550703194</v>
      </c>
      <c r="R39" s="95"/>
      <c r="S39" s="95">
        <f>+EXP(-$C$9*$C$6)*($C$17*R38+$C$20*R40)</f>
        <v>0.7856260864543223</v>
      </c>
      <c r="T39" s="95"/>
      <c r="U39" s="95">
        <f>+EXP(-$C$9*$C$6)*($C$17*T38+$C$20*T40)</f>
        <v>1.0997369597743092</v>
      </c>
      <c r="V39" s="95"/>
      <c r="W39" s="95">
        <f>+EXP(-$C$9*$C$6)*($C$17*V38+$C$20*V40)</f>
        <v>1.4388868757859061</v>
      </c>
      <c r="X39" s="95"/>
      <c r="Y39" s="95">
        <f>+EXP(-$C$9*$C$6)*($C$17*X38+$C$20*X40)</f>
        <v>1.7972101799712656</v>
      </c>
      <c r="Z39" s="95"/>
      <c r="AA39" s="95">
        <f>+EXP(-$C$9*$C$6)*($C$17*Z38+$C$20*Z40)</f>
        <v>2.1704337281568082</v>
      </c>
      <c r="AB39" s="95"/>
      <c r="AC39" s="95">
        <f>+EXP(-$C$9*$C$6)*($C$17*AB38+$C$20*AB40)</f>
        <v>2.5553893735297879</v>
      </c>
      <c r="AD39" s="95"/>
      <c r="AE39" s="95">
        <f>+EXP(-$C$9*$C$6)*($C$17*AD38+$C$20*AD40)</f>
        <v>2.9496888957614638</v>
      </c>
      <c r="AF39" s="88"/>
      <c r="AG39" s="88"/>
      <c r="AH39" s="88"/>
      <c r="AI39" s="88"/>
      <c r="AJ39" s="88"/>
    </row>
    <row r="40" spans="1:36" customFormat="1" x14ac:dyDescent="0.25">
      <c r="A40" s="88"/>
      <c r="B40" s="88"/>
      <c r="C40" s="88"/>
      <c r="D40" s="90"/>
      <c r="E40" s="60">
        <f t="shared" si="0"/>
        <v>80.325020722575701</v>
      </c>
      <c r="F40" s="60">
        <f>+MAX($C$1*(E40-$C$3),0)</f>
        <v>0</v>
      </c>
      <c r="G40" s="95"/>
      <c r="H40" s="95">
        <f>+EXP(-$C$9*$C$6)*($C$17*G39+$C$20*G41)</f>
        <v>0</v>
      </c>
      <c r="I40" s="95"/>
      <c r="J40" s="95">
        <f>+EXP(-$C$9*$C$6)*($C$17*I39+$C$20*I41)</f>
        <v>0</v>
      </c>
      <c r="K40" s="95"/>
      <c r="L40" s="95">
        <v>0</v>
      </c>
      <c r="M40" s="95"/>
      <c r="N40" s="95">
        <f>+EXP(-$C$9*$C$6)*($C$17*M39+$C$20*M41)</f>
        <v>4.797537598849351E-2</v>
      </c>
      <c r="O40" s="95"/>
      <c r="P40" s="95">
        <f>+EXP(-$C$9*$C$6)*($C$17*O39+$C$20*O41)</f>
        <v>0.14972569713638545</v>
      </c>
      <c r="Q40" s="95"/>
      <c r="R40" s="95">
        <f>+EXP(-$C$9*$C$6)*($C$17*Q39+$C$20*Q41)</f>
        <v>0.29911189276599487</v>
      </c>
      <c r="S40" s="95"/>
      <c r="T40" s="95">
        <f>+EXP(-$C$9*$C$6)*($C$17*S39+$C$20*S41)</f>
        <v>0.48814614013664859</v>
      </c>
      <c r="U40" s="95"/>
      <c r="V40" s="95">
        <f>+EXP(-$C$9*$C$6)*($C$17*U39+$C$20*U41)</f>
        <v>0.70962805976876098</v>
      </c>
      <c r="W40" s="95"/>
      <c r="X40" s="95">
        <f>+EXP(-$C$9*$C$6)*($C$17*W39+$C$20*W41)</f>
        <v>0.95763441035262731</v>
      </c>
      <c r="Y40" s="95"/>
      <c r="Z40" s="96">
        <f>+EXP(-$C$9*$C$6)*($C$17*Y39+$C$20*Y41)</f>
        <v>1.2274290131229229</v>
      </c>
      <c r="AA40" s="95"/>
      <c r="AB40" s="95">
        <f>+EXP(-$C$9*$C$6)*($C$17*AA39+$C$20*AA41)</f>
        <v>1.5152496294621136</v>
      </c>
      <c r="AC40" s="95"/>
      <c r="AD40" s="95">
        <f>+EXP(-$C$9*$C$6)*($C$17*AC39+$C$20*AC41)</f>
        <v>1.8181008721538592</v>
      </c>
      <c r="AE40" s="95"/>
      <c r="AF40" s="88"/>
      <c r="AG40" s="88"/>
      <c r="AH40" s="88"/>
      <c r="AI40" s="88"/>
      <c r="AJ40" s="88"/>
    </row>
    <row r="41" spans="1:36" customFormat="1" x14ac:dyDescent="0.25">
      <c r="A41" s="88"/>
      <c r="B41" s="88"/>
      <c r="C41" s="88"/>
      <c r="D41" s="90"/>
      <c r="E41" s="60"/>
      <c r="F41" s="60"/>
      <c r="G41" s="95">
        <f>+EXP(-$C$9*$C$6)*($C$17*F40+$C$20*F42)</f>
        <v>0</v>
      </c>
      <c r="H41" s="95"/>
      <c r="I41" s="95">
        <f>+EXP(-$C$9*$C$6)*($C$17*H40+$C$20*H42)</f>
        <v>0</v>
      </c>
      <c r="J41" s="95"/>
      <c r="K41" s="95">
        <f>+EXP(-$C$9*$C$6)*($C$17*J40+$C$20*J42)</f>
        <v>0</v>
      </c>
      <c r="L41" s="95"/>
      <c r="M41" s="95">
        <f>+EXP(-$C$9*$C$6)*($C$17*L40+$C$20*L42)</f>
        <v>0</v>
      </c>
      <c r="N41" s="95"/>
      <c r="O41" s="95">
        <f>+EXP(-$C$9*$C$6)*($C$17*N40+$C$20*N42)</f>
        <v>2.4604294628103405E-2</v>
      </c>
      <c r="P41" s="95"/>
      <c r="Q41" s="97">
        <f>+EXP(-$C$9*$C$6)*($C$17*P40+$C$20*P42)</f>
        <v>8.2913204011099292E-2</v>
      </c>
      <c r="R41" s="95"/>
      <c r="S41" s="95">
        <f>+EXP(-$C$9*$C$6)*($C$17*R40+$C$20*R42)</f>
        <v>0.17556934995744936</v>
      </c>
      <c r="T41" s="95"/>
      <c r="U41" s="95">
        <f>+EXP(-$C$9*$C$6)*($C$17*T40+$C$20*T42)</f>
        <v>0.29995981780610187</v>
      </c>
      <c r="V41" s="95"/>
      <c r="W41" s="95">
        <f>+EXP(-$C$9*$C$6)*($C$17*V40+$C$20*V42)</f>
        <v>0.45253483064803529</v>
      </c>
      <c r="X41" s="95"/>
      <c r="Y41" s="95">
        <f>+EXP(-$C$9*$C$6)*($C$17*X40+$C$20*X42)</f>
        <v>0.62973511698851936</v>
      </c>
      <c r="Z41" s="95"/>
      <c r="AA41" s="95">
        <f>+EXP(-$C$9*$C$6)*($C$17*Z40+$C$20*Z42)</f>
        <v>0.82832524243161709</v>
      </c>
      <c r="AB41" s="95"/>
      <c r="AC41" s="95">
        <f>+EXP(-$C$9*$C$6)*($C$17*AB40+$C$20*AB42)</f>
        <v>1.0454820445213104</v>
      </c>
      <c r="AD41" s="95"/>
      <c r="AE41" s="88"/>
      <c r="AF41" s="88"/>
      <c r="AG41" s="88"/>
      <c r="AH41" s="88"/>
      <c r="AI41" s="88"/>
      <c r="AJ41" s="88"/>
    </row>
    <row r="42" spans="1:36" customFormat="1" x14ac:dyDescent="0.25">
      <c r="A42" s="88"/>
      <c r="B42" s="88"/>
      <c r="C42" s="88"/>
      <c r="D42" s="90"/>
      <c r="E42" s="60">
        <f t="shared" si="0"/>
        <v>74.667990179788646</v>
      </c>
      <c r="F42" s="60">
        <f>+MAX($C$1*(E42-$C$3),0)</f>
        <v>0</v>
      </c>
      <c r="G42" s="95"/>
      <c r="H42" s="95">
        <f>+EXP(-$C$9*$C$6)*($C$17*G41+$C$20*G43)</f>
        <v>0</v>
      </c>
      <c r="I42" s="95"/>
      <c r="J42" s="95">
        <f>+EXP(-$C$9*$C$6)*($C$17*I41+$C$20*I43)</f>
        <v>0</v>
      </c>
      <c r="K42" s="95"/>
      <c r="L42" s="95">
        <v>0</v>
      </c>
      <c r="M42" s="95"/>
      <c r="N42" s="95">
        <f>+EXP(-$C$9*$C$6)*($C$17*M41+$C$20*M43)</f>
        <v>0</v>
      </c>
      <c r="O42" s="95"/>
      <c r="P42" s="95">
        <f>+EXP(-$C$9*$C$6)*($C$17*O41+$C$20*O43)</f>
        <v>1.2618375607764101E-2</v>
      </c>
      <c r="Q42" s="95"/>
      <c r="R42" s="95">
        <f>+EXP(-$C$9*$C$6)*($C$17*Q41+$C$20*Q43)</f>
        <v>4.5663982206673157E-2</v>
      </c>
      <c r="S42" s="95"/>
      <c r="T42" s="95">
        <f>+EXP(-$C$9*$C$6)*($C$17*S41+$C$20*S43)</f>
        <v>0.10219287592470745</v>
      </c>
      <c r="U42" s="95"/>
      <c r="V42" s="95">
        <f>+EXP(-$C$9*$C$6)*($C$17*U41+$C$20*U43)</f>
        <v>0.18249951902678213</v>
      </c>
      <c r="W42" s="95"/>
      <c r="X42" s="95">
        <f>+EXP(-$C$9*$C$6)*($C$17*W41+$C$20*W43)</f>
        <v>0.28550967636449359</v>
      </c>
      <c r="Y42" s="95"/>
      <c r="Z42" s="96">
        <f>+EXP(-$C$9*$C$6)*($C$17*Y41+$C$20*Y43)</f>
        <v>0.40956216851567379</v>
      </c>
      <c r="AA42" s="95"/>
      <c r="AB42" s="95">
        <f>+EXP(-$C$9*$C$6)*($C$17*AA41+$C$20*AA43)</f>
        <v>0.55281616833729386</v>
      </c>
      <c r="AC42" s="95"/>
      <c r="AD42" s="88"/>
      <c r="AE42" s="88"/>
      <c r="AF42" s="88"/>
      <c r="AG42" s="88"/>
      <c r="AH42" s="88"/>
      <c r="AI42" s="88"/>
      <c r="AJ42" s="88"/>
    </row>
    <row r="43" spans="1:36" customFormat="1" x14ac:dyDescent="0.25">
      <c r="A43" s="88"/>
      <c r="B43" s="88"/>
      <c r="C43" s="88"/>
      <c r="D43" s="90"/>
      <c r="E43" s="60"/>
      <c r="F43" s="60"/>
      <c r="G43" s="95">
        <f>+EXP(-$C$9*$C$6)*($C$17*F42+$C$20*F44)</f>
        <v>0</v>
      </c>
      <c r="H43" s="95"/>
      <c r="I43" s="95">
        <f>+EXP(-$C$9*$C$6)*($C$17*H42+$C$20*H44)</f>
        <v>0</v>
      </c>
      <c r="J43" s="95"/>
      <c r="K43" s="95">
        <f>+EXP(-$C$9*$C$6)*($C$17*J42+$C$20*J44)</f>
        <v>0</v>
      </c>
      <c r="L43" s="95"/>
      <c r="M43" s="95">
        <f>+EXP(-$C$9*$C$6)*($C$17*L42+$C$20*L44)</f>
        <v>0</v>
      </c>
      <c r="N43" s="95"/>
      <c r="O43" s="95">
        <f>+EXP(-$C$9*$C$6)*($C$17*N42+$C$20*N44)</f>
        <v>0</v>
      </c>
      <c r="P43" s="95"/>
      <c r="Q43" s="97">
        <f>+EXP(-$C$9*$C$6)*($C$17*P42+$C$20*P44)</f>
        <v>6.4713662954087939E-3</v>
      </c>
      <c r="R43" s="95"/>
      <c r="S43" s="95">
        <f>+EXP(-$C$9*$C$6)*($C$17*R42+$C$20*R44)</f>
        <v>2.5030136156592102E-2</v>
      </c>
      <c r="T43" s="95"/>
      <c r="U43" s="95">
        <f>+EXP(-$C$9*$C$6)*($C$17*T42+$C$20*T44)</f>
        <v>5.9043070294917233E-2</v>
      </c>
      <c r="V43" s="95"/>
      <c r="W43" s="95">
        <f>+EXP(-$C$9*$C$6)*($C$17*V42+$C$20*V44)</f>
        <v>0.11004735609035121</v>
      </c>
      <c r="X43" s="95"/>
      <c r="Y43" s="95">
        <f>+EXP(-$C$9*$C$6)*($C$17*X42+$C$20*X44)</f>
        <v>0.17838121831777742</v>
      </c>
      <c r="Z43" s="95"/>
      <c r="AA43" s="95">
        <f>+EXP(-$C$9*$C$6)*($C$17*Z42+$C$20*Z44)</f>
        <v>0.2636707476335961</v>
      </c>
      <c r="AB43" s="88"/>
      <c r="AC43" s="88"/>
      <c r="AD43" s="88"/>
      <c r="AE43" s="88"/>
      <c r="AF43" s="88"/>
      <c r="AG43" s="88"/>
      <c r="AH43" s="88"/>
      <c r="AI43" s="88"/>
      <c r="AJ43" s="88"/>
    </row>
    <row r="44" spans="1:36" customFormat="1" x14ac:dyDescent="0.25">
      <c r="A44" s="88"/>
      <c r="B44" s="88"/>
      <c r="C44" s="88"/>
      <c r="D44" s="90"/>
      <c r="E44" s="60">
        <f t="shared" si="0"/>
        <v>69.409365940220027</v>
      </c>
      <c r="F44" s="60">
        <f>+MAX($C$1*(E44-$C$3),0)</f>
        <v>0</v>
      </c>
      <c r="G44" s="95"/>
      <c r="H44" s="95">
        <f>+EXP(-$C$9*$C$6)*($C$17*G43+$C$20*G45)</f>
        <v>0</v>
      </c>
      <c r="I44" s="95"/>
      <c r="J44" s="95">
        <f>+EXP(-$C$9*$C$6)*($C$17*I43+$C$20*I45)</f>
        <v>0</v>
      </c>
      <c r="K44" s="95"/>
      <c r="L44" s="95">
        <v>0</v>
      </c>
      <c r="M44" s="95"/>
      <c r="N44" s="95">
        <f>+EXP(-$C$9*$C$6)*($C$17*M43+$C$20*M45)</f>
        <v>0</v>
      </c>
      <c r="O44" s="95"/>
      <c r="P44" s="95">
        <f>+EXP(-$C$9*$C$6)*($C$17*O43+$C$20*O45)</f>
        <v>0</v>
      </c>
      <c r="Q44" s="95"/>
      <c r="R44" s="95">
        <f>+EXP(-$C$9*$C$6)*($C$17*Q43+$C$20*Q45)</f>
        <v>3.3188568030567268E-3</v>
      </c>
      <c r="S44" s="95"/>
      <c r="T44" s="95">
        <f>+EXP(-$C$9*$C$6)*($C$17*S43+$C$20*S45)</f>
        <v>1.3663101047583818E-2</v>
      </c>
      <c r="U44" s="95"/>
      <c r="V44" s="95">
        <f>+EXP(-$C$9*$C$6)*($C$17*U43+$C$20*U45)</f>
        <v>3.3887980106638807E-2</v>
      </c>
      <c r="W44" s="95"/>
      <c r="X44" s="95">
        <f>+EXP(-$C$9*$C$6)*($C$17*W43+$C$20*W45)</f>
        <v>6.5824970202513294E-2</v>
      </c>
      <c r="Y44" s="95"/>
      <c r="Z44" s="96">
        <f>+EXP(-$C$9*$C$6)*($C$17*Y43+$C$20*Y45)</f>
        <v>0.11045872293854181</v>
      </c>
      <c r="AA44" s="88"/>
      <c r="AB44" s="88"/>
      <c r="AC44" s="88"/>
      <c r="AD44" s="88"/>
      <c r="AE44" s="88"/>
      <c r="AF44" s="88"/>
      <c r="AG44" s="88"/>
      <c r="AH44" s="88"/>
      <c r="AI44" s="95"/>
      <c r="AJ44" s="88"/>
    </row>
    <row r="45" spans="1:36" customFormat="1" x14ac:dyDescent="0.25">
      <c r="A45" s="88"/>
      <c r="B45" s="88"/>
      <c r="C45" s="88"/>
      <c r="D45" s="90"/>
      <c r="E45" s="60"/>
      <c r="F45" s="60"/>
      <c r="G45" s="95">
        <f>+EXP(-$C$9*$C$6)*($C$17*F44+$C$20*F46)</f>
        <v>0</v>
      </c>
      <c r="H45" s="95"/>
      <c r="I45" s="95">
        <f>+EXP(-$C$9*$C$6)*($C$17*H44+$C$20*H46)</f>
        <v>0</v>
      </c>
      <c r="J45" s="95"/>
      <c r="K45" s="95">
        <f>+EXP(-$C$9*$C$6)*($C$17*J44+$C$20*J46)</f>
        <v>0</v>
      </c>
      <c r="L45" s="95"/>
      <c r="M45" s="95">
        <f>+EXP(-$C$9*$C$6)*($C$17*L44+$C$20*L46)</f>
        <v>0</v>
      </c>
      <c r="N45" s="95"/>
      <c r="O45" s="95">
        <f>+EXP(-$C$9*$C$6)*($C$17*N44+$C$20*N46)</f>
        <v>0</v>
      </c>
      <c r="P45" s="95"/>
      <c r="Q45" s="97">
        <f>+EXP(-$C$9*$C$6)*($C$17*P44+$C$20*P46)</f>
        <v>0</v>
      </c>
      <c r="R45" s="95"/>
      <c r="S45" s="95">
        <f>+EXP(-$C$9*$C$6)*($C$17*R44+$C$20*R46)</f>
        <v>1.702084224008543E-3</v>
      </c>
      <c r="T45" s="95"/>
      <c r="U45" s="95">
        <f>+EXP(-$C$9*$C$6)*($C$17*T44+$C$20*T46)</f>
        <v>7.4309426561815599E-3</v>
      </c>
      <c r="V45" s="95"/>
      <c r="W45" s="95">
        <f>+EXP(-$C$9*$C$6)*($C$17*V44+$C$20*V46)</f>
        <v>1.933521395949071E-2</v>
      </c>
      <c r="X45" s="95"/>
      <c r="Y45" s="95">
        <f>+EXP(-$C$9*$C$6)*($C$17*X44+$C$20*X46)</f>
        <v>3.9085798184714367E-2</v>
      </c>
      <c r="Z45" s="95"/>
      <c r="AA45" s="88"/>
      <c r="AB45" s="88"/>
      <c r="AC45" s="88"/>
      <c r="AD45" s="88"/>
      <c r="AE45" s="88"/>
      <c r="AF45" s="88"/>
      <c r="AG45" s="88"/>
      <c r="AH45" s="88"/>
      <c r="AI45" s="88"/>
      <c r="AJ45" s="88"/>
    </row>
    <row r="46" spans="1:36" customFormat="1" x14ac:dyDescent="0.25">
      <c r="A46" s="88"/>
      <c r="B46" s="88"/>
      <c r="C46" s="88"/>
      <c r="D46" s="90"/>
      <c r="E46" s="60">
        <f t="shared" si="0"/>
        <v>64.521089540822203</v>
      </c>
      <c r="F46" s="60">
        <f>+MAX($C$1*(E46-$C$3),0)</f>
        <v>0</v>
      </c>
      <c r="G46" s="95"/>
      <c r="H46" s="95">
        <f>+EXP(-$C$9*$C$6)*($C$17*G45+$C$20*G47)</f>
        <v>0</v>
      </c>
      <c r="I46" s="95"/>
      <c r="J46" s="95">
        <f>+EXP(-$C$9*$C$6)*($C$17*I45+$C$20*I47)</f>
        <v>0</v>
      </c>
      <c r="K46" s="95"/>
      <c r="L46" s="95">
        <v>0</v>
      </c>
      <c r="M46" s="95"/>
      <c r="N46" s="95">
        <f>+EXP(-$C$9*$C$6)*($C$17*M45+$C$20*M47)</f>
        <v>0</v>
      </c>
      <c r="O46" s="95"/>
      <c r="P46" s="95">
        <f>+EXP(-$C$9*$C$6)*($C$17*O45+$C$20*O47)</f>
        <v>0</v>
      </c>
      <c r="Q46" s="95"/>
      <c r="R46" s="95">
        <f>+EXP(-$C$9*$C$6)*($C$17*Q45+$C$20*Q47)</f>
        <v>0</v>
      </c>
      <c r="S46" s="95"/>
      <c r="T46" s="95">
        <f>+EXP(-$C$9*$C$6)*($C$17*S45+$C$20*S47)</f>
        <v>8.7291825997147304E-4</v>
      </c>
      <c r="U46" s="95"/>
      <c r="V46" s="95">
        <f>+EXP(-$C$9*$C$6)*($C$17*U45+$C$20*U47)</f>
        <v>4.0283178607202329E-3</v>
      </c>
      <c r="W46" s="95"/>
      <c r="X46" s="95">
        <f>+EXP(-$C$9*$C$6)*($C$17*W45+$C$20*W47)</f>
        <v>1.0973201197180938E-2</v>
      </c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</row>
    <row r="47" spans="1:36" customFormat="1" x14ac:dyDescent="0.25">
      <c r="A47" s="88"/>
      <c r="B47" s="88"/>
      <c r="C47" s="88"/>
      <c r="D47" s="90"/>
      <c r="E47" s="60"/>
      <c r="F47" s="60"/>
      <c r="G47" s="95">
        <f>+EXP(-$C$9*$C$6)*($C$17*F46+$C$20*F48)</f>
        <v>0</v>
      </c>
      <c r="H47" s="95"/>
      <c r="I47" s="95">
        <f>+EXP(-$C$9*$C$6)*($C$17*H46+$C$20*H48)</f>
        <v>0</v>
      </c>
      <c r="J47" s="95"/>
      <c r="K47" s="95">
        <f>+EXP(-$C$9*$C$6)*($C$17*J46+$C$20*J48)</f>
        <v>0</v>
      </c>
      <c r="L47" s="95"/>
      <c r="M47" s="95">
        <f>+EXP(-$C$9*$C$6)*($C$17*L46+$C$20*L48)</f>
        <v>0</v>
      </c>
      <c r="N47" s="95"/>
      <c r="O47" s="95">
        <f>+EXP(-$C$9*$C$6)*($C$17*N46+$C$20*N48)</f>
        <v>0</v>
      </c>
      <c r="P47" s="95"/>
      <c r="Q47" s="97">
        <f>+EXP(-$C$9*$C$6)*($C$17*P46+$C$20*P48)</f>
        <v>0</v>
      </c>
      <c r="R47" s="95"/>
      <c r="S47" s="95">
        <f>+EXP(-$C$9*$C$6)*($C$17*R46+$C$20*R48)</f>
        <v>0</v>
      </c>
      <c r="T47" s="95"/>
      <c r="U47" s="95">
        <f>+EXP(-$C$9*$C$6)*($C$17*T46+$C$20*T48)</f>
        <v>4.4767836858101311E-4</v>
      </c>
      <c r="V47" s="95"/>
      <c r="W47" s="95">
        <f>+EXP(-$C$9*$C$6)*($C$17*V46+$C$20*V48)</f>
        <v>2.177396451696859E-3</v>
      </c>
      <c r="X47" s="95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</row>
    <row r="48" spans="1:36" customFormat="1" x14ac:dyDescent="0.25">
      <c r="A48" s="88"/>
      <c r="B48" s="88"/>
      <c r="C48" s="88"/>
      <c r="D48" s="90"/>
      <c r="E48" s="60">
        <f t="shared" si="0"/>
        <v>59.977078585046065</v>
      </c>
      <c r="F48" s="60">
        <f>+MAX($C$1*(E48-$C$3),0)</f>
        <v>0</v>
      </c>
      <c r="G48" s="95"/>
      <c r="H48" s="95">
        <f>+EXP(-$C$9*$C$6)*($C$17*G47+$C$20*G49)</f>
        <v>0</v>
      </c>
      <c r="I48" s="95"/>
      <c r="J48" s="95">
        <f>+EXP(-$C$9*$C$6)*($C$17*I47+$C$20*I49)</f>
        <v>0</v>
      </c>
      <c r="K48" s="95"/>
      <c r="L48" s="95">
        <v>0</v>
      </c>
      <c r="M48" s="95"/>
      <c r="N48" s="95">
        <f>+EXP(-$C$9*$C$6)*($C$17*M47+$C$20*M49)</f>
        <v>0</v>
      </c>
      <c r="O48" s="95"/>
      <c r="P48" s="95">
        <f>+EXP(-$C$9*$C$6)*($C$17*O47+$C$20*O49)</f>
        <v>0</v>
      </c>
      <c r="Q48" s="95"/>
      <c r="R48" s="95">
        <f>+EXP(-$C$9*$C$6)*($C$17*Q47+$C$20*Q49)</f>
        <v>0</v>
      </c>
      <c r="S48" s="95"/>
      <c r="T48" s="95">
        <f>+EXP(-$C$9*$C$6)*($C$17*S47+$C$20*S49)</f>
        <v>0</v>
      </c>
      <c r="U48" s="95"/>
      <c r="V48" s="95">
        <f>+EXP(-$C$9*$C$6)*($C$17*U47+$C$20*U49)</f>
        <v>2.2959299958040402E-4</v>
      </c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88"/>
    </row>
    <row r="49" spans="1:36" customFormat="1" x14ac:dyDescent="0.25">
      <c r="A49" s="88"/>
      <c r="B49" s="88"/>
      <c r="C49" s="88"/>
      <c r="D49" s="90"/>
      <c r="E49" s="60"/>
      <c r="F49" s="60"/>
      <c r="G49" s="95">
        <f>+EXP(-$C$9*$C$6)*($C$17*F48+$C$20*F50)</f>
        <v>0</v>
      </c>
      <c r="H49" s="95"/>
      <c r="I49" s="95">
        <f>+EXP(-$C$9*$C$6)*($C$17*H48+$C$20*H50)</f>
        <v>0</v>
      </c>
      <c r="J49" s="95"/>
      <c r="K49" s="95">
        <f>+EXP(-$C$9*$C$6)*($C$17*J48+$C$20*J50)</f>
        <v>0</v>
      </c>
      <c r="L49" s="95"/>
      <c r="M49" s="95">
        <f>+EXP(-$C$9*$C$6)*($C$17*L48+$C$20*L50)</f>
        <v>0</v>
      </c>
      <c r="N49" s="95"/>
      <c r="O49" s="95">
        <f>+EXP(-$C$9*$C$6)*($C$17*N48+$C$20*N50)</f>
        <v>0</v>
      </c>
      <c r="P49" s="95"/>
      <c r="Q49" s="97">
        <f>+EXP(-$C$9*$C$6)*($C$17*P48+$C$20*P50)</f>
        <v>0</v>
      </c>
      <c r="R49" s="95"/>
      <c r="S49" s="95">
        <f>+EXP(-$C$9*$C$6)*($C$17*R48+$C$20*R50)</f>
        <v>0</v>
      </c>
      <c r="T49" s="95"/>
      <c r="U49" s="95">
        <f>+EXP(-$C$9*$C$6)*($C$17*T48+$C$20*T50)</f>
        <v>0</v>
      </c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</row>
    <row r="50" spans="1:36" customFormat="1" x14ac:dyDescent="0.25">
      <c r="A50" s="88"/>
      <c r="B50" s="88"/>
      <c r="C50" s="88"/>
      <c r="D50" s="90"/>
      <c r="E50" s="60">
        <f t="shared" si="0"/>
        <v>55.753087574890188</v>
      </c>
      <c r="F50" s="60">
        <f>+MAX($C$1*(E50-$C$3),0)</f>
        <v>0</v>
      </c>
      <c r="G50" s="95"/>
      <c r="H50" s="95">
        <f>+EXP(-$C$9*$C$6)*($C$17*G49+$C$20*G51)</f>
        <v>0</v>
      </c>
      <c r="I50" s="95"/>
      <c r="J50" s="95">
        <f>+EXP(-$C$9*$C$6)*($C$17*I49+$C$20*I51)</f>
        <v>0</v>
      </c>
      <c r="K50" s="95"/>
      <c r="L50" s="95">
        <v>0</v>
      </c>
      <c r="M50" s="95"/>
      <c r="N50" s="95">
        <f>+EXP(-$C$9*$C$6)*($C$17*M49+$C$20*M51)</f>
        <v>0</v>
      </c>
      <c r="O50" s="95"/>
      <c r="P50" s="95">
        <f>+EXP(-$C$9*$C$6)*($C$17*O49+$C$20*O51)</f>
        <v>0</v>
      </c>
      <c r="Q50" s="95"/>
      <c r="R50" s="95">
        <f>+EXP(-$C$9*$C$6)*($C$17*Q49+$C$20*Q51)</f>
        <v>0</v>
      </c>
      <c r="S50" s="95"/>
      <c r="T50" s="95">
        <f>+EXP(-$C$9*$C$6)*($C$17*S49+$C$20*S51)</f>
        <v>0</v>
      </c>
      <c r="U50" s="88"/>
      <c r="V50" s="88"/>
      <c r="W50" s="88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88"/>
    </row>
    <row r="51" spans="1:36" customFormat="1" x14ac:dyDescent="0.25">
      <c r="A51" s="88"/>
      <c r="B51" s="88"/>
      <c r="C51" s="88"/>
      <c r="D51" s="90"/>
      <c r="E51" s="60"/>
      <c r="F51" s="60"/>
      <c r="G51" s="95">
        <f>+EXP(-$C$9*$C$6)*($C$17*F50+$C$20*F52)</f>
        <v>0</v>
      </c>
      <c r="H51" s="95"/>
      <c r="I51" s="95">
        <f>+EXP(-$C$9*$C$6)*($C$17*H50+$C$20*H52)</f>
        <v>0</v>
      </c>
      <c r="J51" s="95"/>
      <c r="K51" s="95">
        <f>+EXP(-$C$9*$C$6)*($C$17*J50+$C$20*J52)</f>
        <v>0</v>
      </c>
      <c r="L51" s="95"/>
      <c r="M51" s="95">
        <f>+EXP(-$C$9*$C$6)*($C$17*L50+$C$20*L52)</f>
        <v>0</v>
      </c>
      <c r="N51" s="95"/>
      <c r="O51" s="95">
        <f>+EXP(-$C$9*$C$6)*($C$17*N50+$C$20*N52)</f>
        <v>0</v>
      </c>
      <c r="P51" s="95"/>
      <c r="Q51" s="97">
        <f>+EXP(-$C$9*$C$6)*($C$17*P50+$C$20*P52)</f>
        <v>0</v>
      </c>
      <c r="R51" s="95"/>
      <c r="S51" s="95">
        <f>+EXP(-$C$9*$C$6)*($C$17*R50+$C$20*R52)</f>
        <v>0</v>
      </c>
      <c r="T51" s="95"/>
      <c r="U51" s="88"/>
      <c r="V51" s="88"/>
      <c r="W51" s="88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88"/>
      <c r="AI51" s="88"/>
      <c r="AJ51" s="88"/>
    </row>
    <row r="52" spans="1:36" customFormat="1" x14ac:dyDescent="0.25">
      <c r="A52" s="88"/>
      <c r="B52" s="88"/>
      <c r="C52" s="88"/>
      <c r="D52" s="90"/>
      <c r="E52" s="60">
        <f t="shared" si="0"/>
        <v>51.826578544097103</v>
      </c>
      <c r="F52" s="60">
        <f>+MAX($C$1*(E52-$C$3),0)</f>
        <v>0</v>
      </c>
      <c r="G52" s="95"/>
      <c r="H52" s="95">
        <f>+EXP(-$C$9*$C$6)*($C$17*G51+$C$20*G53)</f>
        <v>0</v>
      </c>
      <c r="I52" s="95"/>
      <c r="J52" s="95">
        <f>+EXP(-$C$9*$C$6)*($C$17*I51+$C$20*I53)</f>
        <v>0</v>
      </c>
      <c r="K52" s="95"/>
      <c r="L52" s="95">
        <v>0</v>
      </c>
      <c r="M52" s="95"/>
      <c r="N52" s="95">
        <f>+EXP(-$C$9*$C$6)*($C$17*M51+$C$20*M53)</f>
        <v>0</v>
      </c>
      <c r="O52" s="95"/>
      <c r="P52" s="95">
        <f>+EXP(-$C$9*$C$6)*($C$17*O51+$C$20*O53)</f>
        <v>0</v>
      </c>
      <c r="Q52" s="95"/>
      <c r="R52" s="95">
        <f>+EXP(-$C$9*$C$6)*($C$17*Q51+$C$20*Q53)</f>
        <v>0</v>
      </c>
      <c r="S52" s="95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</row>
    <row r="53" spans="1:36" customFormat="1" x14ac:dyDescent="0.25">
      <c r="A53" s="88"/>
      <c r="B53" s="88"/>
      <c r="C53" s="88"/>
      <c r="D53" s="90"/>
      <c r="E53" s="60"/>
      <c r="F53" s="60"/>
      <c r="G53" s="95">
        <f>+EXP(-$C$9*$C$6)*($C$17*F52+$C$20*F54)</f>
        <v>0</v>
      </c>
      <c r="H53" s="95"/>
      <c r="I53" s="95">
        <f>+EXP(-$C$9*$C$6)*($C$17*H52+$C$20*H54)</f>
        <v>0</v>
      </c>
      <c r="J53" s="95"/>
      <c r="K53" s="95">
        <f>+EXP(-$C$9*$C$6)*($C$17*J52+$C$20*J54)</f>
        <v>0</v>
      </c>
      <c r="L53" s="95"/>
      <c r="M53" s="95">
        <f>+EXP(-$C$9*$C$6)*($C$17*L52+$C$20*L54)</f>
        <v>0</v>
      </c>
      <c r="N53" s="95"/>
      <c r="O53" s="95">
        <f>+EXP(-$C$9*$C$6)*($C$17*N52+$C$20*N54)</f>
        <v>0</v>
      </c>
      <c r="P53" s="95"/>
      <c r="Q53" s="97">
        <f>+EXP(-$C$9*$C$6)*($C$17*P52+$C$20*P54)</f>
        <v>0</v>
      </c>
      <c r="R53" s="88"/>
      <c r="S53" s="88"/>
      <c r="T53" s="88"/>
      <c r="U53" s="88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</row>
    <row r="54" spans="1:36" customFormat="1" x14ac:dyDescent="0.25">
      <c r="A54" s="88"/>
      <c r="B54" s="88"/>
      <c r="C54" s="88"/>
      <c r="D54" s="90"/>
      <c r="E54" s="60">
        <f t="shared" si="0"/>
        <v>48.176600802233807</v>
      </c>
      <c r="F54" s="60">
        <f>+MAX($C$1*(E54-$C$3),0)</f>
        <v>0</v>
      </c>
      <c r="G54" s="95"/>
      <c r="H54" s="95">
        <f>+EXP(-$C$9*$C$6)*($C$17*G53+$C$20*G55)</f>
        <v>0</v>
      </c>
      <c r="I54" s="95"/>
      <c r="J54" s="95">
        <f>+EXP(-$C$9*$C$6)*($C$17*I53+$C$20*I55)</f>
        <v>0</v>
      </c>
      <c r="K54" s="95"/>
      <c r="L54" s="95">
        <v>0</v>
      </c>
      <c r="M54" s="95"/>
      <c r="N54" s="95">
        <f>+EXP(-$C$9*$C$6)*($C$17*M53+$C$20*M55)</f>
        <v>0</v>
      </c>
      <c r="O54" s="95"/>
      <c r="P54" s="95">
        <f>+EXP(-$C$9*$C$6)*($C$17*O53+$C$20*O55)</f>
        <v>0</v>
      </c>
      <c r="Q54" s="95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</row>
    <row r="55" spans="1:36" customFormat="1" x14ac:dyDescent="0.25">
      <c r="A55" s="88"/>
      <c r="B55" s="88"/>
      <c r="C55" s="88"/>
      <c r="D55" s="90"/>
      <c r="E55" s="60"/>
      <c r="F55" s="60"/>
      <c r="G55" s="95">
        <f>+EXP(-$C$9*$C$6)*($C$17*F54+$C$20*F56)</f>
        <v>0</v>
      </c>
      <c r="H55" s="95"/>
      <c r="I55" s="95">
        <f>+EXP(-$C$9*$C$6)*($C$17*H54+$C$20*H56)</f>
        <v>0</v>
      </c>
      <c r="J55" s="95"/>
      <c r="K55" s="95">
        <f>+EXP(-$C$9*$C$6)*($C$17*J54+$C$20*J56)</f>
        <v>0</v>
      </c>
      <c r="L55" s="95"/>
      <c r="M55" s="95">
        <f>+EXP(-$C$9*$C$6)*($C$17*L54+$C$20*L56)</f>
        <v>0</v>
      </c>
      <c r="N55" s="95"/>
      <c r="O55" s="95">
        <f>+EXP(-$C$9*$C$6)*($C$17*N54+$C$20*N56)</f>
        <v>0</v>
      </c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</row>
    <row r="56" spans="1:36" customFormat="1" x14ac:dyDescent="0.25">
      <c r="A56" s="88"/>
      <c r="B56" s="88"/>
      <c r="C56" s="88"/>
      <c r="D56" s="90"/>
      <c r="E56" s="60">
        <f t="shared" si="0"/>
        <v>44.783679148006357</v>
      </c>
      <c r="F56" s="60">
        <f>+MAX($C$1*(E56-$C$3),0)</f>
        <v>0</v>
      </c>
      <c r="G56" s="95"/>
      <c r="H56" s="95">
        <f>+EXP(-$C$9*$C$6)*($C$17*G55+$C$20*G57)</f>
        <v>0</v>
      </c>
      <c r="I56" s="95"/>
      <c r="J56" s="95">
        <f>+EXP(-$C$9*$C$6)*($C$17*I55+$C$20*I57)</f>
        <v>0</v>
      </c>
      <c r="K56" s="95"/>
      <c r="L56" s="95">
        <v>0</v>
      </c>
      <c r="M56" s="95"/>
      <c r="N56" s="95">
        <f>+EXP(-$C$9*$C$6)*($C$17*M55+$C$20*M57)</f>
        <v>0</v>
      </c>
      <c r="O56" s="95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</row>
    <row r="57" spans="1:36" customFormat="1" x14ac:dyDescent="0.25">
      <c r="A57" s="88"/>
      <c r="B57" s="88"/>
      <c r="C57" s="88"/>
      <c r="D57" s="90"/>
      <c r="E57" s="60"/>
      <c r="F57" s="60"/>
      <c r="G57" s="95">
        <f>+EXP(-$C$9*$C$6)*($C$17*F56+$C$20*F58)</f>
        <v>0</v>
      </c>
      <c r="H57" s="95"/>
      <c r="I57" s="95">
        <f>+EXP(-$C$9*$C$6)*($C$17*H56+$C$20*H58)</f>
        <v>0</v>
      </c>
      <c r="J57" s="95"/>
      <c r="K57" s="95">
        <f>+EXP(-$C$9*$C$6)*($C$17*J56+$C$20*J58)</f>
        <v>0</v>
      </c>
      <c r="L57" s="95"/>
      <c r="M57" s="95">
        <f>+EXP(-$C$9*$C$6)*($C$17*L56+$C$20*L58)</f>
        <v>0</v>
      </c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</row>
    <row r="58" spans="1:36" customFormat="1" x14ac:dyDescent="0.25">
      <c r="A58" s="88"/>
      <c r="B58" s="88"/>
      <c r="C58" s="88"/>
      <c r="D58" s="90"/>
      <c r="E58" s="60">
        <f t="shared" si="0"/>
        <v>41.629709955348005</v>
      </c>
      <c r="F58" s="60">
        <f>+MAX($C$1*(E58-$C$3),0)</f>
        <v>0</v>
      </c>
      <c r="G58" s="95"/>
      <c r="H58" s="95">
        <f>+EXP(-$C$9*$C$6)*($C$17*G57+$C$20*G59)</f>
        <v>0</v>
      </c>
      <c r="I58" s="95"/>
      <c r="J58" s="95">
        <f>+EXP(-$C$9*$C$6)*($C$17*I57+$C$20*I59)</f>
        <v>0</v>
      </c>
      <c r="K58" s="95"/>
      <c r="L58" s="95">
        <v>0</v>
      </c>
      <c r="M58" s="95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88"/>
      <c r="AD58" s="88"/>
      <c r="AE58" s="88"/>
      <c r="AF58" s="88"/>
      <c r="AG58" s="88"/>
      <c r="AH58" s="88"/>
      <c r="AI58" s="88"/>
      <c r="AJ58" s="88"/>
    </row>
    <row r="59" spans="1:36" customFormat="1" x14ac:dyDescent="0.25">
      <c r="A59" s="88"/>
      <c r="B59" s="88"/>
      <c r="C59" s="88"/>
      <c r="D59" s="90"/>
      <c r="E59" s="60"/>
      <c r="F59" s="60"/>
      <c r="G59" s="95">
        <f>+EXP(-$C$9*$C$6)*($C$17*F58+$C$20*F60)</f>
        <v>0</v>
      </c>
      <c r="H59" s="95"/>
      <c r="I59" s="95">
        <f>+EXP(-$C$9*$C$6)*($C$17*H58+$C$20*H60)</f>
        <v>0</v>
      </c>
      <c r="J59" s="95"/>
      <c r="K59" s="95">
        <f>+EXP(-$C$9*$C$6)*($C$17*J58+$C$20*J60)</f>
        <v>0</v>
      </c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</row>
    <row r="60" spans="1:36" customFormat="1" x14ac:dyDescent="0.25">
      <c r="A60" s="88"/>
      <c r="B60" s="88"/>
      <c r="C60" s="88"/>
      <c r="D60" s="90"/>
      <c r="E60" s="60">
        <f t="shared" si="0"/>
        <v>38.697864577826913</v>
      </c>
      <c r="F60" s="60">
        <f>+MAX($C$1*(E60-$C$3),0)</f>
        <v>0</v>
      </c>
      <c r="G60" s="95"/>
      <c r="H60" s="95">
        <f>+EXP(-$C$9*$C$6)*($C$17*G59+$C$20*G61)</f>
        <v>0</v>
      </c>
      <c r="I60" s="95"/>
      <c r="J60" s="95">
        <f>+EXP(-$C$9*$C$6)*($C$17*I59+$C$20*I61)</f>
        <v>0</v>
      </c>
      <c r="K60" s="95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88"/>
      <c r="AG60" s="88"/>
      <c r="AH60" s="88"/>
      <c r="AI60" s="88"/>
      <c r="AJ60" s="88"/>
    </row>
    <row r="61" spans="1:36" customFormat="1" x14ac:dyDescent="0.25">
      <c r="A61" s="88"/>
      <c r="B61" s="88"/>
      <c r="C61" s="88"/>
      <c r="D61" s="90"/>
      <c r="E61" s="60"/>
      <c r="F61" s="60"/>
      <c r="G61" s="95">
        <f>+EXP(-$C$9*$C$6)*($C$17*F60+$C$20*F62)</f>
        <v>0</v>
      </c>
      <c r="H61" s="95"/>
      <c r="I61" s="95">
        <f>+EXP(-$C$9*$C$6)*($C$17*H60+$C$20*H62)</f>
        <v>0</v>
      </c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  <c r="AB61" s="88"/>
      <c r="AC61" s="88"/>
      <c r="AD61" s="88"/>
      <c r="AE61" s="88"/>
      <c r="AF61" s="88"/>
      <c r="AG61" s="88"/>
      <c r="AH61" s="88"/>
      <c r="AI61" s="88"/>
      <c r="AJ61" s="88"/>
    </row>
    <row r="62" spans="1:36" customFormat="1" x14ac:dyDescent="0.25">
      <c r="A62" s="88"/>
      <c r="B62" s="88"/>
      <c r="C62" s="88"/>
      <c r="D62" s="90"/>
      <c r="E62" s="60">
        <f>+E60*$C$14^2</f>
        <v>35.97249955596795</v>
      </c>
      <c r="F62" s="60">
        <f>+MAX($C$1*(E62-$C$3),0)</f>
        <v>0</v>
      </c>
      <c r="G62" s="95"/>
      <c r="H62" s="95">
        <f>+EXP(-$C$9*$C$6)*($C$17*G61+$C$20*G63)</f>
        <v>0</v>
      </c>
      <c r="I62" s="95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88"/>
    </row>
    <row r="63" spans="1:36" customFormat="1" x14ac:dyDescent="0.25">
      <c r="A63" s="88"/>
      <c r="B63" s="88"/>
      <c r="C63" s="88"/>
      <c r="D63" s="90"/>
      <c r="E63" s="60"/>
      <c r="F63" s="60"/>
      <c r="G63" s="95">
        <f>+EXP(-$C$9*$C$6)*($C$17*F62+$C$20*F64)</f>
        <v>0</v>
      </c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</row>
    <row r="64" spans="1:36" customFormat="1" ht="15.75" thickBot="1" x14ac:dyDescent="0.3">
      <c r="A64" s="88"/>
      <c r="B64" s="88"/>
      <c r="C64" s="88"/>
      <c r="D64" s="90"/>
      <c r="E64" s="61">
        <f>+E60*$C$14^2</f>
        <v>35.97249955596795</v>
      </c>
      <c r="F64" s="61">
        <f>+MAX($C$1*(E64-$C$3),0)</f>
        <v>0</v>
      </c>
      <c r="G64" s="95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</row>
    <row r="65" spans="1:36" x14ac:dyDescent="0.25">
      <c r="A65" s="88"/>
      <c r="B65" s="88"/>
      <c r="C65" s="88"/>
      <c r="D65" s="90"/>
      <c r="E65" s="95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  <c r="AJ65" s="88"/>
    </row>
    <row r="66" spans="1:36" x14ac:dyDescent="0.25">
      <c r="A66" s="88"/>
      <c r="B66" s="88"/>
      <c r="C66" s="88"/>
      <c r="D66" s="90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88"/>
      <c r="AC66" s="88"/>
      <c r="AD66" s="88"/>
      <c r="AE66" s="88"/>
      <c r="AF66" s="88"/>
      <c r="AG66" s="88"/>
      <c r="AH66" s="88"/>
      <c r="AI66" s="88"/>
      <c r="AJ66" s="88"/>
    </row>
    <row r="67" spans="1:36" x14ac:dyDescent="0.25">
      <c r="A67" s="88"/>
      <c r="B67" s="88"/>
      <c r="C67" s="88"/>
      <c r="D67" s="90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</row>
    <row r="68" spans="1:36" x14ac:dyDescent="0.25">
      <c r="A68" s="88"/>
      <c r="B68" s="88"/>
      <c r="C68" s="88"/>
      <c r="D68" s="90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</row>
    <row r="69" spans="1:36" x14ac:dyDescent="0.25">
      <c r="A69" s="88"/>
      <c r="B69" s="88"/>
      <c r="C69" s="88"/>
      <c r="D69" s="90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</row>
    <row r="70" spans="1:36" x14ac:dyDescent="0.25">
      <c r="A70" s="88"/>
      <c r="B70" s="88"/>
      <c r="C70" s="88"/>
      <c r="D70" s="90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</row>
    <row r="71" spans="1:36" x14ac:dyDescent="0.25">
      <c r="A71" s="88"/>
      <c r="B71" s="88"/>
      <c r="C71" s="88"/>
      <c r="D71" s="90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</row>
    <row r="72" spans="1:36" x14ac:dyDescent="0.25">
      <c r="A72" s="88"/>
      <c r="B72" s="88"/>
      <c r="C72" s="88"/>
      <c r="D72" s="90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</row>
    <row r="73" spans="1:36" x14ac:dyDescent="0.25">
      <c r="A73" s="88"/>
      <c r="B73" s="88"/>
      <c r="C73" s="88"/>
      <c r="D73" s="90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  <c r="AJ73" s="88"/>
    </row>
    <row r="74" spans="1:36" x14ac:dyDescent="0.25">
      <c r="A74" s="88"/>
      <c r="B74" s="88"/>
      <c r="C74" s="88"/>
      <c r="D74" s="90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  <c r="AJ74" s="88"/>
    </row>
    <row r="75" spans="1:36" x14ac:dyDescent="0.25">
      <c r="A75" s="88"/>
      <c r="B75" s="88"/>
      <c r="C75" s="88"/>
      <c r="D75" s="90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</row>
    <row r="76" spans="1:36" x14ac:dyDescent="0.25">
      <c r="A76" s="88"/>
      <c r="B76" s="88"/>
      <c r="C76" s="88"/>
      <c r="D76" s="90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  <c r="AE76" s="88"/>
      <c r="AF76" s="88"/>
      <c r="AG76" s="88"/>
      <c r="AH76" s="88"/>
      <c r="AI76" s="88"/>
      <c r="AJ76" s="88"/>
    </row>
    <row r="77" spans="1:36" x14ac:dyDescent="0.25">
      <c r="A77" s="88"/>
      <c r="B77" s="88"/>
      <c r="C77" s="88"/>
      <c r="D77" s="90"/>
      <c r="E77" s="88"/>
      <c r="F77" s="88"/>
      <c r="G77" s="88"/>
      <c r="H77" s="88"/>
      <c r="I77" s="88"/>
      <c r="J77" s="88"/>
      <c r="K77" s="88"/>
      <c r="L77" s="88"/>
      <c r="M77" s="88"/>
      <c r="N77" s="95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</row>
    <row r="78" spans="1:36" x14ac:dyDescent="0.25">
      <c r="A78" s="88"/>
      <c r="B78" s="88"/>
      <c r="C78" s="88"/>
      <c r="D78" s="90"/>
      <c r="E78" s="88"/>
      <c r="F78" s="88"/>
      <c r="G78" s="88"/>
      <c r="H78" s="88"/>
      <c r="I78" s="88"/>
      <c r="J78" s="88"/>
      <c r="K78" s="88"/>
      <c r="L78" s="88"/>
      <c r="M78" s="88"/>
      <c r="N78" s="95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8"/>
      <c r="AI78" s="88"/>
      <c r="AJ78" s="88"/>
    </row>
    <row r="79" spans="1:36" x14ac:dyDescent="0.25">
      <c r="A79" s="88"/>
      <c r="B79" s="88"/>
      <c r="C79" s="88"/>
      <c r="D79" s="90"/>
      <c r="E79" s="88"/>
      <c r="F79" s="88"/>
      <c r="G79" s="88"/>
      <c r="H79" s="88"/>
      <c r="I79" s="88"/>
      <c r="J79" s="88"/>
      <c r="K79" s="88"/>
      <c r="L79" s="88"/>
      <c r="M79" s="88"/>
      <c r="N79" s="95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8"/>
      <c r="AI79" s="88"/>
      <c r="AJ79" s="88"/>
    </row>
    <row r="80" spans="1:36" x14ac:dyDescent="0.25">
      <c r="A80" s="89"/>
      <c r="B80" s="89"/>
      <c r="C80" s="89"/>
      <c r="D80" s="91"/>
      <c r="E80" s="89"/>
      <c r="F80" s="89"/>
      <c r="G80" s="89"/>
      <c r="H80" s="89"/>
      <c r="I80" s="89"/>
      <c r="J80" s="89"/>
      <c r="K80" s="89"/>
      <c r="L80" s="89"/>
      <c r="M80" s="89"/>
      <c r="N80" s="100"/>
      <c r="O80" s="89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89"/>
      <c r="AC80" s="89"/>
      <c r="AD80" s="89"/>
      <c r="AE80" s="89"/>
      <c r="AF80" s="89"/>
      <c r="AG80" s="89"/>
      <c r="AH80" s="89"/>
      <c r="AI80" s="89"/>
      <c r="AJ80" s="89"/>
    </row>
    <row r="81" spans="4:14" x14ac:dyDescent="0.25">
      <c r="D81" s="91"/>
      <c r="E81" s="89"/>
      <c r="F81" s="89"/>
      <c r="G81" s="89"/>
      <c r="H81" s="89"/>
      <c r="I81" s="89"/>
      <c r="J81" s="89"/>
      <c r="K81" s="89"/>
      <c r="L81" s="89"/>
      <c r="M81" s="89"/>
      <c r="N81" s="100"/>
    </row>
    <row r="82" spans="4:14" x14ac:dyDescent="0.25">
      <c r="D82" s="91"/>
      <c r="E82" s="89"/>
      <c r="F82" s="89"/>
      <c r="G82" s="89"/>
      <c r="H82" s="89"/>
      <c r="I82" s="89"/>
      <c r="J82" s="89"/>
      <c r="K82" s="89"/>
      <c r="L82" s="89"/>
      <c r="M82" s="89"/>
      <c r="N82" s="100"/>
    </row>
    <row r="83" spans="4:14" x14ac:dyDescent="0.25">
      <c r="D83" s="91"/>
      <c r="E83" s="89"/>
      <c r="F83" s="89"/>
      <c r="G83" s="89"/>
      <c r="H83" s="89"/>
      <c r="I83" s="89"/>
      <c r="J83" s="89"/>
      <c r="K83" s="89"/>
      <c r="L83" s="89"/>
      <c r="M83" s="89"/>
      <c r="N83" s="100"/>
    </row>
    <row r="84" spans="4:14" x14ac:dyDescent="0.25">
      <c r="D84" s="91"/>
      <c r="E84" s="89"/>
      <c r="F84" s="89"/>
      <c r="G84" s="89"/>
      <c r="H84" s="89"/>
      <c r="I84" s="89"/>
      <c r="J84" s="89"/>
      <c r="K84" s="89"/>
      <c r="L84" s="89"/>
      <c r="M84" s="89"/>
      <c r="N84" s="100"/>
    </row>
    <row r="85" spans="4:14" x14ac:dyDescent="0.25">
      <c r="D85" s="91"/>
      <c r="E85" s="89"/>
      <c r="F85" s="89"/>
      <c r="G85" s="89"/>
      <c r="H85" s="89"/>
      <c r="I85" s="89"/>
      <c r="J85" s="89"/>
      <c r="K85" s="89"/>
      <c r="L85" s="89"/>
      <c r="M85" s="89"/>
      <c r="N85" s="100"/>
    </row>
    <row r="86" spans="4:14" x14ac:dyDescent="0.25">
      <c r="D86" s="91"/>
      <c r="E86" s="89"/>
      <c r="F86" s="89"/>
      <c r="G86" s="89"/>
      <c r="H86" s="89"/>
      <c r="I86" s="89"/>
      <c r="J86" s="89"/>
      <c r="K86" s="89"/>
      <c r="L86" s="89"/>
      <c r="M86" s="89"/>
      <c r="N86" s="100"/>
    </row>
    <row r="87" spans="4:14" x14ac:dyDescent="0.25">
      <c r="D87" s="91"/>
      <c r="E87" s="89"/>
      <c r="F87" s="89"/>
      <c r="G87" s="89"/>
      <c r="H87" s="89"/>
      <c r="I87" s="89"/>
      <c r="J87" s="89"/>
      <c r="K87" s="89"/>
      <c r="L87" s="89"/>
      <c r="M87" s="89"/>
      <c r="N87" s="100"/>
    </row>
    <row r="88" spans="4:14" x14ac:dyDescent="0.25">
      <c r="D88" s="91"/>
      <c r="E88" s="89"/>
      <c r="F88" s="89"/>
      <c r="G88" s="89"/>
      <c r="H88" s="89"/>
      <c r="I88" s="89"/>
      <c r="J88" s="89"/>
      <c r="K88" s="89"/>
      <c r="L88" s="89"/>
      <c r="M88" s="89"/>
      <c r="N88" s="100"/>
    </row>
    <row r="89" spans="4:14" x14ac:dyDescent="0.25">
      <c r="D89" s="89"/>
      <c r="E89" s="89"/>
      <c r="F89" s="89"/>
      <c r="G89" s="89"/>
      <c r="H89" s="89"/>
      <c r="I89" s="89"/>
      <c r="J89" s="89"/>
      <c r="K89" s="89"/>
      <c r="L89" s="89"/>
      <c r="M89" s="89"/>
      <c r="N89" s="100"/>
    </row>
    <row r="90" spans="4:14" x14ac:dyDescent="0.25">
      <c r="D90" s="89"/>
      <c r="E90" s="89"/>
      <c r="F90" s="89"/>
      <c r="G90" s="89"/>
      <c r="H90" s="89"/>
      <c r="I90" s="89"/>
      <c r="J90" s="89"/>
      <c r="K90" s="89"/>
      <c r="L90" s="89"/>
      <c r="M90" s="89"/>
      <c r="N90" s="100"/>
    </row>
    <row r="91" spans="4:14" x14ac:dyDescent="0.25">
      <c r="D91" s="91"/>
      <c r="E91" s="100"/>
      <c r="F91" s="100"/>
      <c r="G91" s="100"/>
      <c r="H91" s="89"/>
      <c r="I91" s="89"/>
      <c r="J91" s="89"/>
      <c r="K91" s="89"/>
      <c r="L91" s="89"/>
      <c r="M91" s="89"/>
      <c r="N91" s="100"/>
    </row>
    <row r="92" spans="4:14" x14ac:dyDescent="0.25">
      <c r="D92" s="91"/>
      <c r="E92" s="100"/>
      <c r="F92" s="100"/>
      <c r="G92" s="100"/>
      <c r="H92" s="89"/>
      <c r="I92" s="89"/>
      <c r="J92" s="89"/>
      <c r="K92" s="89"/>
      <c r="L92" s="89"/>
      <c r="M92" s="89"/>
      <c r="N92" s="100"/>
    </row>
    <row r="93" spans="4:14" x14ac:dyDescent="0.25">
      <c r="D93" s="91"/>
      <c r="E93" s="100"/>
      <c r="F93" s="100"/>
      <c r="G93" s="100"/>
      <c r="H93" s="89"/>
      <c r="I93" s="89"/>
      <c r="J93" s="89"/>
      <c r="K93" s="89"/>
      <c r="L93" s="89"/>
      <c r="M93" s="89"/>
      <c r="N93" s="100"/>
    </row>
    <row r="94" spans="4:14" x14ac:dyDescent="0.25">
      <c r="D94" s="91"/>
      <c r="E94" s="100"/>
      <c r="F94" s="100"/>
      <c r="G94" s="100"/>
      <c r="H94" s="89"/>
      <c r="I94" s="89"/>
      <c r="J94" s="89"/>
      <c r="K94" s="89"/>
      <c r="L94" s="89"/>
      <c r="M94" s="89"/>
      <c r="N94" s="100"/>
    </row>
    <row r="95" spans="4:14" x14ac:dyDescent="0.25">
      <c r="D95" s="91"/>
      <c r="E95" s="100"/>
      <c r="F95" s="100"/>
      <c r="G95" s="100"/>
      <c r="H95" s="89"/>
      <c r="I95" s="89"/>
      <c r="J95" s="89"/>
      <c r="K95" s="89"/>
      <c r="L95" s="89"/>
      <c r="M95" s="89"/>
      <c r="N95" s="100"/>
    </row>
    <row r="96" spans="4:14" x14ac:dyDescent="0.25">
      <c r="D96" s="91"/>
      <c r="E96" s="100"/>
      <c r="F96" s="100"/>
      <c r="G96" s="100"/>
      <c r="H96" s="89"/>
      <c r="I96" s="89"/>
      <c r="J96" s="89"/>
      <c r="K96" s="100"/>
      <c r="L96" s="100"/>
      <c r="M96" s="100"/>
      <c r="N96" s="100"/>
    </row>
    <row r="97" spans="4:14" x14ac:dyDescent="0.25">
      <c r="D97" s="91"/>
      <c r="E97" s="100"/>
      <c r="F97" s="100"/>
      <c r="G97" s="100"/>
      <c r="H97" s="89"/>
      <c r="I97" s="89"/>
      <c r="J97" s="89"/>
      <c r="K97" s="100"/>
      <c r="L97" s="100"/>
      <c r="M97" s="100"/>
      <c r="N97" s="100"/>
    </row>
    <row r="98" spans="4:14" x14ac:dyDescent="0.25">
      <c r="D98" s="91"/>
      <c r="E98" s="100"/>
      <c r="F98" s="100"/>
      <c r="G98" s="100"/>
      <c r="H98" s="89"/>
      <c r="I98" s="89"/>
      <c r="J98" s="89"/>
      <c r="K98" s="100"/>
      <c r="L98" s="100"/>
      <c r="M98" s="100"/>
      <c r="N98" s="100"/>
    </row>
    <row r="99" spans="4:14" x14ac:dyDescent="0.25">
      <c r="D99" s="91"/>
      <c r="E99" s="100"/>
      <c r="F99" s="100"/>
      <c r="G99" s="100"/>
      <c r="H99" s="89"/>
      <c r="I99" s="89"/>
      <c r="J99" s="89"/>
      <c r="K99" s="100"/>
      <c r="L99" s="100"/>
      <c r="M99" s="100"/>
      <c r="N99" s="100"/>
    </row>
    <row r="100" spans="4:14" x14ac:dyDescent="0.25">
      <c r="D100" s="91"/>
      <c r="E100" s="100"/>
      <c r="F100" s="100"/>
      <c r="G100" s="100"/>
      <c r="H100" s="89"/>
      <c r="I100" s="89"/>
      <c r="J100" s="89"/>
      <c r="K100" s="100"/>
      <c r="L100" s="100"/>
      <c r="M100" s="100"/>
      <c r="N100" s="100"/>
    </row>
    <row r="101" spans="4:14" x14ac:dyDescent="0.25">
      <c r="D101" s="91"/>
      <c r="E101" s="100"/>
      <c r="F101" s="100"/>
      <c r="G101" s="100"/>
      <c r="H101" s="89"/>
      <c r="I101" s="89"/>
      <c r="J101" s="89"/>
      <c r="K101" s="100"/>
      <c r="L101" s="100"/>
      <c r="M101" s="100"/>
      <c r="N101" s="100"/>
    </row>
    <row r="102" spans="4:14" x14ac:dyDescent="0.25">
      <c r="D102" s="91"/>
      <c r="E102" s="100"/>
      <c r="F102" s="100"/>
      <c r="G102" s="100"/>
      <c r="H102" s="89"/>
      <c r="I102" s="89"/>
      <c r="J102" s="89"/>
      <c r="K102" s="100"/>
      <c r="L102" s="100"/>
      <c r="M102" s="100"/>
      <c r="N102" s="100"/>
    </row>
    <row r="103" spans="4:14" x14ac:dyDescent="0.25">
      <c r="D103" s="91"/>
      <c r="E103" s="100"/>
      <c r="F103" s="100"/>
      <c r="G103" s="100"/>
      <c r="H103" s="89"/>
      <c r="I103" s="89"/>
      <c r="J103" s="89"/>
      <c r="K103" s="100"/>
      <c r="L103" s="100"/>
      <c r="M103" s="100"/>
      <c r="N103" s="100"/>
    </row>
    <row r="104" spans="4:14" x14ac:dyDescent="0.25">
      <c r="D104" s="91"/>
      <c r="E104" s="100"/>
      <c r="F104" s="100"/>
      <c r="G104" s="100"/>
      <c r="H104" s="89"/>
      <c r="I104" s="89"/>
      <c r="J104" s="89"/>
      <c r="K104" s="100"/>
      <c r="L104" s="100"/>
      <c r="M104" s="100"/>
      <c r="N104" s="100"/>
    </row>
    <row r="105" spans="4:14" x14ac:dyDescent="0.25">
      <c r="D105" s="91"/>
      <c r="E105" s="100"/>
      <c r="F105" s="100"/>
      <c r="G105" s="100"/>
      <c r="H105" s="89"/>
      <c r="I105" s="89"/>
      <c r="J105" s="89"/>
      <c r="K105" s="100"/>
      <c r="L105" s="100"/>
      <c r="M105" s="100"/>
      <c r="N105" s="100"/>
    </row>
    <row r="106" spans="4:14" x14ac:dyDescent="0.25">
      <c r="D106" s="91"/>
      <c r="E106" s="100"/>
      <c r="F106" s="100"/>
      <c r="G106" s="100"/>
      <c r="H106" s="89"/>
      <c r="I106" s="89"/>
      <c r="J106" s="89"/>
      <c r="K106" s="100"/>
      <c r="L106" s="100"/>
      <c r="M106" s="100"/>
      <c r="N106" s="100"/>
    </row>
    <row r="107" spans="4:14" x14ac:dyDescent="0.25">
      <c r="D107" s="91"/>
      <c r="E107" s="100"/>
      <c r="F107" s="100"/>
      <c r="G107" s="100"/>
      <c r="H107" s="89"/>
      <c r="I107" s="89"/>
      <c r="J107" s="89"/>
      <c r="K107" s="100"/>
      <c r="L107" s="100"/>
      <c r="M107" s="100"/>
      <c r="N107" s="100"/>
    </row>
    <row r="108" spans="4:14" x14ac:dyDescent="0.25">
      <c r="D108" s="91"/>
      <c r="E108" s="100"/>
      <c r="F108" s="100"/>
      <c r="G108" s="100"/>
      <c r="H108" s="89"/>
      <c r="I108" s="89"/>
      <c r="J108" s="89"/>
      <c r="K108" s="100"/>
      <c r="L108" s="100"/>
      <c r="M108" s="100"/>
      <c r="N108" s="100"/>
    </row>
    <row r="109" spans="4:14" x14ac:dyDescent="0.25">
      <c r="D109" s="91"/>
      <c r="E109" s="100"/>
      <c r="F109" s="100"/>
      <c r="G109" s="100"/>
      <c r="H109" s="89"/>
      <c r="I109" s="89"/>
      <c r="J109" s="89"/>
      <c r="K109" s="100"/>
      <c r="L109" s="100"/>
      <c r="M109" s="100"/>
      <c r="N109" s="100"/>
    </row>
    <row r="110" spans="4:14" x14ac:dyDescent="0.25">
      <c r="D110" s="91"/>
      <c r="E110" s="100"/>
      <c r="F110" s="100"/>
      <c r="G110" s="100"/>
      <c r="H110" s="89"/>
      <c r="I110" s="89"/>
      <c r="J110" s="89"/>
      <c r="K110" s="100"/>
      <c r="L110" s="100"/>
      <c r="M110" s="100"/>
      <c r="N110" s="100"/>
    </row>
    <row r="111" spans="4:14" x14ac:dyDescent="0.25">
      <c r="D111" s="91"/>
      <c r="E111" s="100"/>
      <c r="F111" s="100"/>
      <c r="G111" s="100"/>
      <c r="H111" s="89"/>
      <c r="I111" s="89"/>
      <c r="J111" s="89"/>
      <c r="K111" s="100"/>
      <c r="L111" s="100"/>
      <c r="M111" s="100"/>
      <c r="N111" s="100"/>
    </row>
    <row r="112" spans="4:14" x14ac:dyDescent="0.25">
      <c r="D112" s="91"/>
      <c r="E112" s="100"/>
      <c r="F112" s="100"/>
      <c r="G112" s="100"/>
      <c r="H112" s="89"/>
      <c r="I112" s="89"/>
      <c r="J112" s="89"/>
      <c r="K112" s="100"/>
      <c r="L112" s="100"/>
      <c r="M112" s="100"/>
      <c r="N112" s="100"/>
    </row>
    <row r="113" spans="4:14" x14ac:dyDescent="0.25">
      <c r="D113" s="91"/>
      <c r="E113" s="100"/>
      <c r="F113" s="100"/>
      <c r="G113" s="100"/>
      <c r="H113" s="89"/>
      <c r="I113" s="89"/>
      <c r="J113" s="89"/>
      <c r="K113" s="100"/>
      <c r="L113" s="100"/>
      <c r="M113" s="100"/>
      <c r="N113" s="100"/>
    </row>
    <row r="114" spans="4:14" x14ac:dyDescent="0.25">
      <c r="D114" s="91"/>
      <c r="E114" s="100"/>
      <c r="F114" s="100"/>
      <c r="G114" s="100"/>
      <c r="H114" s="89"/>
      <c r="I114" s="89"/>
      <c r="J114" s="89"/>
      <c r="K114" s="100"/>
      <c r="L114" s="100"/>
      <c r="M114" s="100"/>
      <c r="N114" s="100"/>
    </row>
    <row r="115" spans="4:14" x14ac:dyDescent="0.25">
      <c r="D115" s="91"/>
      <c r="E115" s="100"/>
      <c r="F115" s="100"/>
      <c r="G115" s="100"/>
      <c r="H115" s="89"/>
      <c r="I115" s="89"/>
      <c r="J115" s="89"/>
      <c r="K115" s="100"/>
      <c r="L115" s="100"/>
      <c r="M115" s="100"/>
      <c r="N115" s="100"/>
    </row>
    <row r="116" spans="4:14" x14ac:dyDescent="0.25">
      <c r="D116" s="91"/>
      <c r="E116" s="100"/>
      <c r="F116" s="100"/>
      <c r="G116" s="100"/>
      <c r="H116" s="89"/>
      <c r="I116" s="89"/>
      <c r="J116" s="89"/>
      <c r="K116" s="100"/>
      <c r="L116" s="100"/>
      <c r="M116" s="100"/>
      <c r="N116" s="100"/>
    </row>
    <row r="117" spans="4:14" x14ac:dyDescent="0.25">
      <c r="D117" s="91"/>
      <c r="E117" s="100"/>
      <c r="F117" s="100"/>
      <c r="G117" s="100"/>
      <c r="H117" s="89"/>
      <c r="I117" s="89"/>
      <c r="J117" s="89"/>
      <c r="K117" s="100"/>
      <c r="L117" s="100"/>
      <c r="M117" s="100"/>
      <c r="N117" s="100"/>
    </row>
    <row r="118" spans="4:14" x14ac:dyDescent="0.25">
      <c r="D118" s="91"/>
      <c r="E118" s="100"/>
      <c r="F118" s="100"/>
      <c r="G118" s="100"/>
      <c r="H118" s="89"/>
      <c r="I118" s="89"/>
      <c r="J118" s="89"/>
      <c r="K118" s="100"/>
      <c r="L118" s="100"/>
      <c r="M118" s="100"/>
      <c r="N118" s="100"/>
    </row>
    <row r="119" spans="4:14" x14ac:dyDescent="0.25">
      <c r="D119" s="91"/>
      <c r="E119" s="100"/>
      <c r="F119" s="100"/>
      <c r="G119" s="100"/>
      <c r="H119" s="89"/>
      <c r="I119" s="89"/>
      <c r="J119" s="89"/>
      <c r="K119" s="100"/>
      <c r="L119" s="100"/>
      <c r="M119" s="100"/>
      <c r="N119" s="100"/>
    </row>
    <row r="120" spans="4:14" x14ac:dyDescent="0.25">
      <c r="D120" s="91"/>
      <c r="E120" s="100"/>
      <c r="F120" s="100"/>
      <c r="G120" s="100"/>
      <c r="H120" s="89"/>
      <c r="I120" s="89"/>
      <c r="J120" s="89"/>
      <c r="K120" s="100"/>
      <c r="L120" s="100"/>
      <c r="M120" s="100"/>
      <c r="N120" s="100"/>
    </row>
    <row r="121" spans="4:14" x14ac:dyDescent="0.25">
      <c r="D121" s="91"/>
      <c r="E121" s="100"/>
      <c r="F121" s="100"/>
      <c r="G121" s="100"/>
      <c r="H121" s="89"/>
      <c r="I121" s="89"/>
      <c r="J121" s="89"/>
      <c r="K121" s="100"/>
      <c r="L121" s="100"/>
      <c r="M121" s="100"/>
      <c r="N121" s="100"/>
    </row>
    <row r="122" spans="4:14" x14ac:dyDescent="0.25">
      <c r="D122" s="91"/>
      <c r="E122" s="100"/>
      <c r="F122" s="100"/>
      <c r="G122" s="100"/>
      <c r="H122" s="89"/>
      <c r="I122" s="89"/>
      <c r="J122" s="89"/>
      <c r="K122" s="100"/>
      <c r="L122" s="100"/>
      <c r="M122" s="100"/>
      <c r="N122" s="100"/>
    </row>
    <row r="123" spans="4:14" x14ac:dyDescent="0.25">
      <c r="D123" s="91"/>
      <c r="E123" s="100"/>
      <c r="F123" s="100"/>
      <c r="G123" s="100"/>
      <c r="H123" s="89"/>
      <c r="I123" s="89"/>
      <c r="J123" s="89"/>
      <c r="K123" s="100"/>
      <c r="L123" s="100"/>
      <c r="M123" s="100"/>
      <c r="N123" s="100"/>
    </row>
    <row r="124" spans="4:14" x14ac:dyDescent="0.25">
      <c r="D124" s="91"/>
      <c r="E124" s="100"/>
      <c r="F124" s="100"/>
      <c r="G124" s="100"/>
      <c r="H124" s="89"/>
      <c r="I124" s="89"/>
      <c r="J124" s="89"/>
      <c r="K124" s="100"/>
      <c r="L124" s="100"/>
      <c r="M124" s="100"/>
      <c r="N124" s="100"/>
    </row>
    <row r="125" spans="4:14" x14ac:dyDescent="0.25">
      <c r="D125" s="91"/>
      <c r="E125" s="100"/>
      <c r="F125" s="100"/>
      <c r="G125" s="100"/>
      <c r="H125" s="89"/>
      <c r="I125" s="89"/>
      <c r="J125" s="89"/>
      <c r="K125" s="100"/>
      <c r="L125" s="100"/>
      <c r="M125" s="100"/>
      <c r="N125" s="100"/>
    </row>
    <row r="126" spans="4:14" x14ac:dyDescent="0.25">
      <c r="D126" s="91"/>
      <c r="E126" s="100"/>
      <c r="F126" s="100"/>
      <c r="G126" s="100"/>
      <c r="H126" s="89"/>
      <c r="I126" s="89"/>
      <c r="J126" s="89"/>
      <c r="K126" s="100"/>
      <c r="L126" s="100"/>
      <c r="M126" s="100"/>
      <c r="N126" s="100"/>
    </row>
    <row r="127" spans="4:14" x14ac:dyDescent="0.25">
      <c r="D127" s="91"/>
      <c r="E127" s="100"/>
      <c r="F127" s="100"/>
      <c r="G127" s="100"/>
      <c r="H127" s="89"/>
      <c r="I127" s="89"/>
      <c r="J127" s="89"/>
      <c r="K127" s="100"/>
      <c r="L127" s="100"/>
      <c r="M127" s="100"/>
      <c r="N127" s="100"/>
    </row>
    <row r="128" spans="4:14" x14ac:dyDescent="0.25">
      <c r="D128" s="91"/>
      <c r="E128" s="100"/>
      <c r="F128" s="100"/>
      <c r="G128" s="100"/>
      <c r="H128" s="89"/>
      <c r="I128" s="89"/>
      <c r="J128" s="89"/>
      <c r="K128" s="100"/>
      <c r="L128" s="100"/>
      <c r="M128" s="100"/>
      <c r="N128" s="100"/>
    </row>
    <row r="129" spans="4:14" x14ac:dyDescent="0.25">
      <c r="D129" s="91"/>
      <c r="E129" s="100"/>
      <c r="F129" s="100"/>
      <c r="G129" s="100"/>
      <c r="H129" s="89"/>
      <c r="I129" s="89"/>
      <c r="J129" s="89"/>
      <c r="K129" s="100"/>
      <c r="L129" s="100"/>
      <c r="M129" s="100"/>
      <c r="N129" s="100"/>
    </row>
    <row r="130" spans="4:14" x14ac:dyDescent="0.25">
      <c r="D130" s="91"/>
      <c r="E130" s="100"/>
      <c r="F130" s="100"/>
      <c r="G130" s="100"/>
      <c r="H130" s="89"/>
      <c r="I130" s="89"/>
      <c r="J130" s="89"/>
      <c r="K130" s="100"/>
      <c r="L130" s="100"/>
      <c r="M130" s="100"/>
      <c r="N130" s="100"/>
    </row>
    <row r="131" spans="4:14" x14ac:dyDescent="0.25">
      <c r="D131" s="91"/>
      <c r="E131" s="100"/>
      <c r="F131" s="100"/>
      <c r="G131" s="100"/>
      <c r="H131" s="89"/>
      <c r="I131" s="89"/>
      <c r="J131" s="89"/>
      <c r="K131" s="100"/>
      <c r="L131" s="100"/>
      <c r="M131" s="100"/>
      <c r="N131" s="100"/>
    </row>
    <row r="132" spans="4:14" x14ac:dyDescent="0.25">
      <c r="D132" s="91"/>
      <c r="E132" s="100"/>
      <c r="F132" s="100"/>
      <c r="G132" s="100"/>
      <c r="H132" s="89"/>
      <c r="I132" s="89"/>
      <c r="J132" s="89"/>
      <c r="K132" s="100"/>
      <c r="L132" s="100"/>
      <c r="M132" s="100"/>
      <c r="N132" s="100"/>
    </row>
    <row r="133" spans="4:14" x14ac:dyDescent="0.25">
      <c r="D133" s="91"/>
      <c r="E133" s="100"/>
      <c r="F133" s="100"/>
      <c r="G133" s="100"/>
      <c r="H133" s="89"/>
      <c r="I133" s="89"/>
      <c r="J133" s="89"/>
      <c r="K133" s="100"/>
      <c r="L133" s="100"/>
      <c r="M133" s="100"/>
      <c r="N133" s="100"/>
    </row>
    <row r="134" spans="4:14" x14ac:dyDescent="0.25">
      <c r="D134" s="91"/>
      <c r="E134" s="100"/>
      <c r="F134" s="100"/>
      <c r="G134" s="100"/>
      <c r="H134" s="89"/>
      <c r="I134" s="89"/>
      <c r="J134" s="89"/>
      <c r="K134" s="100"/>
      <c r="L134" s="100"/>
      <c r="M134" s="100"/>
      <c r="N134" s="100"/>
    </row>
    <row r="135" spans="4:14" x14ac:dyDescent="0.25">
      <c r="D135" s="91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</row>
    <row r="136" spans="4:14" x14ac:dyDescent="0.25">
      <c r="D136" s="91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</row>
    <row r="137" spans="4:14" x14ac:dyDescent="0.25">
      <c r="D137" s="91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</row>
    <row r="138" spans="4:14" x14ac:dyDescent="0.25">
      <c r="D138" s="91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</row>
    <row r="139" spans="4:14" x14ac:dyDescent="0.25">
      <c r="D139" s="91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</row>
    <row r="140" spans="4:14" x14ac:dyDescent="0.25">
      <c r="D140" s="91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</row>
    <row r="141" spans="4:14" x14ac:dyDescent="0.25">
      <c r="D141" s="91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</row>
    <row r="142" spans="4:14" x14ac:dyDescent="0.25">
      <c r="D142" s="91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</row>
    <row r="143" spans="4:14" x14ac:dyDescent="0.25">
      <c r="D143" s="91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</row>
    <row r="144" spans="4:14" x14ac:dyDescent="0.25">
      <c r="D144" s="91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</row>
    <row r="145" spans="4:14" x14ac:dyDescent="0.25">
      <c r="D145" s="91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</row>
    <row r="146" spans="4:14" x14ac:dyDescent="0.25">
      <c r="D146" s="91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</row>
    <row r="147" spans="4:14" x14ac:dyDescent="0.25">
      <c r="D147" s="91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</row>
    <row r="148" spans="4:14" x14ac:dyDescent="0.25">
      <c r="D148" s="91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</row>
    <row r="149" spans="4:14" x14ac:dyDescent="0.25">
      <c r="D149" s="91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</row>
    <row r="150" spans="4:14" x14ac:dyDescent="0.25">
      <c r="D150" s="91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</row>
    <row r="151" spans="4:14" x14ac:dyDescent="0.25">
      <c r="D151" s="91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</row>
    <row r="152" spans="4:14" x14ac:dyDescent="0.25">
      <c r="D152" s="91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</row>
    <row r="153" spans="4:14" x14ac:dyDescent="0.25">
      <c r="D153" s="91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</row>
    <row r="154" spans="4:14" x14ac:dyDescent="0.25">
      <c r="D154" s="91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</row>
    <row r="155" spans="4:14" x14ac:dyDescent="0.25">
      <c r="D155" s="91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</row>
    <row r="156" spans="4:14" x14ac:dyDescent="0.25">
      <c r="D156" s="91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</row>
    <row r="157" spans="4:14" x14ac:dyDescent="0.25">
      <c r="D157" s="91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</row>
    <row r="158" spans="4:14" x14ac:dyDescent="0.25">
      <c r="D158" s="91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</row>
    <row r="159" spans="4:14" x14ac:dyDescent="0.25">
      <c r="D159" s="91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</row>
    <row r="160" spans="4:14" x14ac:dyDescent="0.25">
      <c r="D160" s="91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</row>
    <row r="161" spans="4:14" x14ac:dyDescent="0.25">
      <c r="D161" s="91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</row>
    <row r="162" spans="4:14" x14ac:dyDescent="0.25">
      <c r="D162" s="91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</row>
    <row r="163" spans="4:14" x14ac:dyDescent="0.25">
      <c r="D163" s="91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</row>
    <row r="164" spans="4:14" x14ac:dyDescent="0.25">
      <c r="D164" s="91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</row>
    <row r="165" spans="4:14" x14ac:dyDescent="0.25">
      <c r="D165" s="91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</row>
    <row r="166" spans="4:14" x14ac:dyDescent="0.25">
      <c r="D166" s="91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</row>
    <row r="167" spans="4:14" x14ac:dyDescent="0.25">
      <c r="D167" s="91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</row>
    <row r="168" spans="4:14" x14ac:dyDescent="0.25">
      <c r="D168" s="91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</row>
    <row r="169" spans="4:14" x14ac:dyDescent="0.25">
      <c r="D169" s="91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</row>
    <row r="170" spans="4:14" x14ac:dyDescent="0.25">
      <c r="D170" s="91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</row>
    <row r="171" spans="4:14" x14ac:dyDescent="0.25">
      <c r="D171" s="91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</row>
    <row r="172" spans="4:14" x14ac:dyDescent="0.25">
      <c r="D172" s="91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</row>
    <row r="173" spans="4:14" x14ac:dyDescent="0.25">
      <c r="D173" s="91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</row>
    <row r="174" spans="4:14" x14ac:dyDescent="0.25">
      <c r="D174" s="91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</row>
    <row r="175" spans="4:14" x14ac:dyDescent="0.25">
      <c r="D175" s="91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</row>
    <row r="176" spans="4:14" x14ac:dyDescent="0.25">
      <c r="D176" s="91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</row>
    <row r="177" spans="4:14" x14ac:dyDescent="0.25">
      <c r="D177" s="91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</row>
    <row r="178" spans="4:14" x14ac:dyDescent="0.25">
      <c r="D178" s="91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</row>
    <row r="179" spans="4:14" x14ac:dyDescent="0.25">
      <c r="D179" s="91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</row>
    <row r="180" spans="4:14" x14ac:dyDescent="0.25">
      <c r="D180" s="91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</row>
    <row r="181" spans="4:14" x14ac:dyDescent="0.25">
      <c r="D181" s="91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</row>
    <row r="182" spans="4:14" x14ac:dyDescent="0.25">
      <c r="D182" s="91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</row>
    <row r="183" spans="4:14" x14ac:dyDescent="0.25">
      <c r="D183" s="91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</row>
  </sheetData>
  <hyperlinks>
    <hyperlink ref="B31" r:id="rId1" display="www.strategies-options.com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70C0"/>
  </sheetPr>
  <dimension ref="A1:CM300"/>
  <sheetViews>
    <sheetView workbookViewId="0">
      <selection activeCell="I1" sqref="I1"/>
    </sheetView>
  </sheetViews>
  <sheetFormatPr baseColWidth="10" defaultRowHeight="15" x14ac:dyDescent="0.25"/>
  <cols>
    <col min="1" max="1" width="16.140625" customWidth="1"/>
    <col min="4" max="5" width="12" bestFit="1" customWidth="1"/>
    <col min="7" max="7" width="11.42578125" style="18"/>
    <col min="8" max="8" width="12.7109375" style="18" bestFit="1" customWidth="1"/>
    <col min="9" max="10" width="11.42578125" style="18"/>
    <col min="11" max="11" width="8.85546875" style="18" bestFit="1" customWidth="1"/>
    <col min="12" max="12" width="14.28515625" style="18" bestFit="1" customWidth="1"/>
    <col min="13" max="13" width="7.140625" style="18" bestFit="1" customWidth="1"/>
    <col min="14" max="91" width="11.42578125" style="18"/>
  </cols>
  <sheetData>
    <row r="1" spans="1:13" ht="45" customHeight="1" x14ac:dyDescent="0.25">
      <c r="A1" s="18"/>
      <c r="B1" s="18"/>
      <c r="C1" s="18"/>
      <c r="D1" s="18"/>
      <c r="E1" s="18"/>
      <c r="F1" s="18"/>
    </row>
    <row r="2" spans="1:13" ht="42.75" customHeight="1" thickBot="1" x14ac:dyDescent="0.3">
      <c r="A2" s="18"/>
      <c r="B2" s="18"/>
      <c r="C2" s="18"/>
      <c r="D2" s="18"/>
      <c r="E2" s="18"/>
      <c r="F2" s="18"/>
    </row>
    <row r="3" spans="1:13" ht="16.5" thickBot="1" x14ac:dyDescent="0.3">
      <c r="A3" s="63" t="s">
        <v>24</v>
      </c>
      <c r="B3" s="65"/>
      <c r="C3" s="18"/>
      <c r="D3" s="31" t="s">
        <v>25</v>
      </c>
      <c r="E3" s="16" t="s">
        <v>26</v>
      </c>
      <c r="F3" s="17" t="s">
        <v>27</v>
      </c>
      <c r="H3" s="18" t="s">
        <v>34</v>
      </c>
      <c r="K3" s="110" t="s">
        <v>58</v>
      </c>
      <c r="L3" s="111"/>
      <c r="M3" s="112"/>
    </row>
    <row r="4" spans="1:13" ht="15.75" thickBot="1" x14ac:dyDescent="0.3">
      <c r="A4" s="22" t="s">
        <v>19</v>
      </c>
      <c r="B4" s="12">
        <v>100</v>
      </c>
      <c r="C4" s="18"/>
      <c r="D4" s="19" t="s">
        <v>28</v>
      </c>
      <c r="E4" s="27">
        <v>8.0010294769336241</v>
      </c>
      <c r="F4" s="28">
        <v>1.3529918651155839</v>
      </c>
      <c r="J4" s="105"/>
      <c r="K4" s="113" t="s">
        <v>56</v>
      </c>
      <c r="L4" s="114" t="s">
        <v>57</v>
      </c>
      <c r="M4" s="118" t="s">
        <v>60</v>
      </c>
    </row>
    <row r="5" spans="1:13" x14ac:dyDescent="0.25">
      <c r="A5" s="23" t="s">
        <v>20</v>
      </c>
      <c r="B5" s="13">
        <v>95</v>
      </c>
      <c r="C5" s="18"/>
      <c r="D5" s="20" t="s">
        <v>29</v>
      </c>
      <c r="E5" s="25">
        <v>0.82586056410557096</v>
      </c>
      <c r="F5" s="26">
        <v>0.1741394358944291</v>
      </c>
      <c r="J5" s="103" t="s">
        <v>59</v>
      </c>
      <c r="K5" s="119">
        <f>Binomial!C15</f>
        <v>8.0557492452122599</v>
      </c>
      <c r="L5" s="72">
        <f>E4</f>
        <v>8.0010294769336241</v>
      </c>
      <c r="M5" s="120">
        <f>L5-K5</f>
        <v>-5.4719768278635783E-2</v>
      </c>
    </row>
    <row r="6" spans="1:13" x14ac:dyDescent="0.25">
      <c r="A6" s="23" t="s">
        <v>21</v>
      </c>
      <c r="B6" s="13" t="s">
        <v>38</v>
      </c>
      <c r="C6" s="18"/>
      <c r="D6" s="20" t="s">
        <v>30</v>
      </c>
      <c r="E6" s="29">
        <v>2.5696956202325504E-2</v>
      </c>
      <c r="F6" s="30">
        <v>2.5696956202325504E-2</v>
      </c>
      <c r="J6" s="103" t="s">
        <v>27</v>
      </c>
      <c r="K6" s="119">
        <f>Binomial!C16</f>
        <v>1.4077158683276805</v>
      </c>
      <c r="L6" s="72">
        <f>F4</f>
        <v>1.3529918651155839</v>
      </c>
      <c r="M6" s="120">
        <f t="shared" ref="M6" si="0">L6-K6</f>
        <v>-5.4724003212096584E-2</v>
      </c>
    </row>
    <row r="7" spans="1:13" x14ac:dyDescent="0.25">
      <c r="A7" s="23" t="s">
        <v>22</v>
      </c>
      <c r="B7" s="32" t="s">
        <v>39</v>
      </c>
      <c r="C7" s="18"/>
      <c r="D7" s="20" t="s">
        <v>31</v>
      </c>
      <c r="E7" s="29">
        <v>72.225713284738347</v>
      </c>
      <c r="F7" s="30">
        <v>-21.239649348088918</v>
      </c>
      <c r="J7" s="103" t="s">
        <v>29</v>
      </c>
      <c r="K7" s="70"/>
      <c r="L7" s="72">
        <f>E5</f>
        <v>0.82586056410557096</v>
      </c>
      <c r="M7" s="120"/>
    </row>
    <row r="8" spans="1:13" ht="15.75" thickBot="1" x14ac:dyDescent="0.3">
      <c r="A8" s="24" t="s">
        <v>23</v>
      </c>
      <c r="B8" s="33">
        <v>7.0000000000000007E-2</v>
      </c>
      <c r="C8" s="18"/>
      <c r="D8" s="20" t="s">
        <v>32</v>
      </c>
      <c r="E8" s="29">
        <v>12.848478101162753</v>
      </c>
      <c r="F8" s="30">
        <v>12.848478101162753</v>
      </c>
      <c r="J8" s="103" t="s">
        <v>32</v>
      </c>
      <c r="K8" s="70"/>
      <c r="L8" s="72">
        <f>E8</f>
        <v>12.848478101162753</v>
      </c>
      <c r="M8" s="120"/>
    </row>
    <row r="9" spans="1:13" ht="15.75" thickBot="1" x14ac:dyDescent="0.3">
      <c r="A9" s="18"/>
      <c r="B9" s="18"/>
      <c r="C9" s="18"/>
      <c r="D9" s="21" t="s">
        <v>33</v>
      </c>
      <c r="E9" s="14">
        <v>18.646256733405867</v>
      </c>
      <c r="F9" s="15">
        <v>-4.6917338636396231</v>
      </c>
      <c r="J9" s="103" t="s">
        <v>30</v>
      </c>
      <c r="K9" s="70"/>
      <c r="L9" s="72">
        <f>E6</f>
        <v>2.5696956202325504E-2</v>
      </c>
      <c r="M9" s="120"/>
    </row>
    <row r="10" spans="1:13" s="18" customFormat="1" ht="15.75" thickBot="1" x14ac:dyDescent="0.3">
      <c r="J10" s="104" t="s">
        <v>33</v>
      </c>
      <c r="K10" s="121"/>
      <c r="L10" s="122">
        <f>E9</f>
        <v>18.646256733405867</v>
      </c>
      <c r="M10" s="123"/>
    </row>
    <row r="11" spans="1:13" s="18" customFormat="1" x14ac:dyDescent="0.25"/>
    <row r="12" spans="1:13" s="18" customFormat="1" x14ac:dyDescent="0.25"/>
    <row r="13" spans="1:13" s="18" customFormat="1" x14ac:dyDescent="0.25"/>
    <row r="14" spans="1:13" s="18" customFormat="1" x14ac:dyDescent="0.25"/>
    <row r="15" spans="1:13" s="18" customFormat="1" x14ac:dyDescent="0.25"/>
    <row r="16" spans="1:13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s="18" customFormat="1" x14ac:dyDescent="0.25"/>
    <row r="27" s="18" customFormat="1" x14ac:dyDescent="0.25"/>
    <row r="28" s="18" customFormat="1" x14ac:dyDescent="0.25"/>
    <row r="29" s="18" customFormat="1" x14ac:dyDescent="0.25"/>
    <row r="30" s="18" customFormat="1" x14ac:dyDescent="0.25"/>
    <row r="31" s="18" customFormat="1" x14ac:dyDescent="0.25"/>
    <row r="32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1" s="18" customFormat="1" x14ac:dyDescent="0.25"/>
    <row r="42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</sheetData>
  <mergeCells count="2">
    <mergeCell ref="A3:B3"/>
    <mergeCell ref="K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Image1">
          <controlPr defaultSize="0" autoLine="0" r:id="rId4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7</xdr:col>
                <xdr:colOff>409575</xdr:colOff>
                <xdr:row>1</xdr:row>
                <xdr:rowOff>466725</xdr:rowOff>
              </to>
            </anchor>
          </controlPr>
        </control>
      </mc:Choice>
      <mc:Fallback>
        <control shapeId="3075" r:id="rId3" name="Image1"/>
      </mc:Fallback>
    </mc:AlternateContent>
    <mc:AlternateContent xmlns:mc="http://schemas.openxmlformats.org/markup-compatibility/2006">
      <mc:Choice Requires="x14">
        <control shapeId="3074" r:id="rId5" name="Button 2">
          <controlPr defaultSize="0" print="0" autoFill="0" autoPict="0" macro="[0]!ToolBox">
            <anchor moveWithCells="1" sizeWithCells="1">
              <from>
                <xdr:col>3</xdr:col>
                <xdr:colOff>9525</xdr:colOff>
                <xdr:row>9</xdr:row>
                <xdr:rowOff>95250</xdr:rowOff>
              </from>
              <to>
                <xdr:col>5</xdr:col>
                <xdr:colOff>723900</xdr:colOff>
                <xdr:row>10</xdr:row>
                <xdr:rowOff>123825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34998626667073579"/>
  </sheetPr>
  <dimension ref="A1:A38"/>
  <sheetViews>
    <sheetView topLeftCell="A7" workbookViewId="0">
      <selection activeCell="I38" sqref="I38"/>
    </sheetView>
  </sheetViews>
  <sheetFormatPr baseColWidth="10" defaultRowHeight="15" x14ac:dyDescent="0.25"/>
  <cols>
    <col min="1" max="16384" width="11.42578125" style="18"/>
  </cols>
  <sheetData>
    <row r="1" spans="1:1" x14ac:dyDescent="0.25">
      <c r="A1"/>
    </row>
    <row r="37" spans="1:1" x14ac:dyDescent="0.25">
      <c r="A37"/>
    </row>
    <row r="38" spans="1:1" x14ac:dyDescent="0.25">
      <c r="A3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Th option </vt:lpstr>
      <vt:lpstr>Binomial</vt:lpstr>
      <vt:lpstr>Steps</vt:lpstr>
      <vt:lpstr>B&amp;S</vt:lpstr>
      <vt:lpstr>Model</vt:lpstr>
    </vt:vector>
  </TitlesOfParts>
  <Company>BNP Paribas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Rima BOUFAS</dc:creator>
  <cp:keywords>Classification=Select Classification Level, Classification=Internal</cp:keywords>
  <cp:lastModifiedBy>Jean-Francois KARLESKIND</cp:lastModifiedBy>
  <dcterms:created xsi:type="dcterms:W3CDTF">2019-10-19T07:21:40Z</dcterms:created>
  <dcterms:modified xsi:type="dcterms:W3CDTF">2019-11-12T16:10:48Z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c7324548-2b0a-4f55-a278-0cd98dd4a896</vt:lpwstr>
  </property>
  <property fmtid="{D5CDD505-2E9C-101B-9397-08002B2CF9AE}" pid="3" name="Classification">
    <vt:lpwstr>Internal</vt:lpwstr>
  </property>
</Properties>
</file>